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 del Día" sheetId="1" state="visible" r:id="rId3"/>
    <sheet name="Ejemplo" sheetId="2" state="visible" r:id="rId4"/>
    <sheet name="Resumen" sheetId="3" state="visible" r:id="rId5"/>
    <sheet name="Cómo usar" sheetId="4" state="visible" r:id="rId6"/>
    <sheet name="Listas" sheetId="5" state="visible" r:id="rId7"/>
    <sheet name="Personal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<sst xmlns="http://schemas.openxmlformats.org/spreadsheetml/2006/main" count="542" uniqueCount="393">
  <si>
    <t xml:space="preserve">PLAN DEL DÍA</t>
  </si>
  <si>
    <t xml:space="preserve">Fecha / Date:</t>
  </si>
  <si>
    <t xml:space="preserve">Total personas / people:</t>
  </si>
  <si>
    <t xml:space="preserve">Nombres repetidos / Repeated:</t>
  </si>
  <si>
    <t xml:space="preserve">Escribe solo en las celdas crema. Un bloque (2 columnas) por proyecto. Cada persona en su fila con su responsabilidad al lado; responsabilidad en blanco = la misma de arriba.</t>
  </si>
  <si>
    <t xml:space="preserve">Proyecto / Project</t>
  </si>
  <si>
    <t xml:space="preserve">Sitio / Site</t>
  </si>
  <si>
    <t xml:space="preserve">Horario: inicio | fin</t>
  </si>
  <si>
    <t xml:space="preserve">Líder / Lead</t>
  </si>
  <si>
    <t xml:space="preserve">Contratista 1: nombre | cuántos</t>
  </si>
  <si>
    <t xml:space="preserve">Contratista 1: inicio | fin</t>
  </si>
  <si>
    <t xml:space="preserve">Contratista 2: nombre | cuántos</t>
  </si>
  <si>
    <t xml:space="preserve">Contratista 2: inicio | fin</t>
  </si>
  <si>
    <t xml:space="preserve">Notas / Notes</t>
  </si>
  <si>
    <t xml:space="preserve">Nombrados (incl. líder)</t>
  </si>
  <si>
    <t xml:space="preserve">TOTAL (con contratistas)</t>
  </si>
  <si>
    <t xml:space="preserve">Responsabilidad | Nombre ↓</t>
  </si>
  <si>
    <t xml:space="preserve">Responsabilidad</t>
  </si>
  <si>
    <t xml:space="preserve">Nombre</t>
  </si>
  <si>
    <t xml:space="preserve">EJEMPLO (de la foto del 19/10, con nombres como están en Connecteam). No se conecta con Resumen. / Sample only.</t>
  </si>
  <si>
    <t xml:space="preserve">Bucking</t>
  </si>
  <si>
    <t xml:space="preserve">Prerolls</t>
  </si>
  <si>
    <t xml:space="preserve">Trimming</t>
  </si>
  <si>
    <t xml:space="preserve">Harvest Intake</t>
  </si>
  <si>
    <t xml:space="preserve">Harvest</t>
  </si>
  <si>
    <t xml:space="preserve">Watering</t>
  </si>
  <si>
    <t xml:space="preserve">Fresh Frozen</t>
  </si>
  <si>
    <t xml:space="preserve">Adobe</t>
  </si>
  <si>
    <t xml:space="preserve">Comstock</t>
  </si>
  <si>
    <t xml:space="preserve">Wildcat</t>
  </si>
  <si>
    <t xml:space="preserve">Sulphur Bank</t>
  </si>
  <si>
    <t xml:space="preserve">7am</t>
  </si>
  <si>
    <t xml:space="preserve">3:30pm</t>
  </si>
  <si>
    <t xml:space="preserve">5am</t>
  </si>
  <si>
    <t xml:space="preserve">2pm</t>
  </si>
  <si>
    <t xml:space="preserve">4am</t>
  </si>
  <si>
    <t xml:space="preserve">12:30pm</t>
  </si>
  <si>
    <t xml:space="preserve">Jesus Ayerin Sicairos</t>
  </si>
  <si>
    <t xml:space="preserve">Yobani Vega</t>
  </si>
  <si>
    <t xml:space="preserve">Juan J. Parra</t>
  </si>
  <si>
    <t xml:space="preserve">Juan</t>
  </si>
  <si>
    <t xml:space="preserve">5:30pm</t>
  </si>
  <si>
    <t xml:space="preserve">2am</t>
  </si>
  <si>
    <t xml:space="preserve">Colgar a las 5:30pm: contratista 2</t>
  </si>
  <si>
    <t xml:space="preserve">Destronche</t>
  </si>
  <si>
    <t xml:space="preserve">Isabel Hernandez</t>
  </si>
  <si>
    <t xml:space="preserve">Vianey Zazueta</t>
  </si>
  <si>
    <t xml:space="preserve">Colgar</t>
  </si>
  <si>
    <t xml:space="preserve">Jorge Santiago Calvo</t>
  </si>
  <si>
    <t xml:space="preserve">Cortar</t>
  </si>
  <si>
    <t xml:space="preserve">Jose Guadalupe Lopez</t>
  </si>
  <si>
    <t xml:space="preserve">Regar</t>
  </si>
  <si>
    <t xml:space="preserve">Isai Cruz Lopez</t>
  </si>
  <si>
    <t xml:space="preserve">Fresh frozen</t>
  </si>
  <si>
    <t xml:space="preserve">Anastasia Santiago</t>
  </si>
  <si>
    <t xml:space="preserve">Araceli Martinez</t>
  </si>
  <si>
    <t xml:space="preserve">Araceli Muniz</t>
  </si>
  <si>
    <t xml:space="preserve">Jesus Medina</t>
  </si>
  <si>
    <t xml:space="preserve">Diego Lopez</t>
  </si>
  <si>
    <t xml:space="preserve">Carla Gomez Perez</t>
  </si>
  <si>
    <t xml:space="preserve">Gandy Cardenas</t>
  </si>
  <si>
    <t xml:space="preserve">Sirenia Zurita</t>
  </si>
  <si>
    <t xml:space="preserve">Jenri Yobani Lopez Lopez</t>
  </si>
  <si>
    <t xml:space="preserve">Jose Fredi Aguilar L.</t>
  </si>
  <si>
    <t xml:space="preserve">Aurelia Rosales</t>
  </si>
  <si>
    <t xml:space="preserve">Ramona Ortiz</t>
  </si>
  <si>
    <t xml:space="preserve">Ana Reyes</t>
  </si>
  <si>
    <t xml:space="preserve">Carlos Tentle</t>
  </si>
  <si>
    <t xml:space="preserve">Ismael Cruz</t>
  </si>
  <si>
    <t xml:space="preserve">Dalett Castro</t>
  </si>
  <si>
    <t xml:space="preserve">Packing</t>
  </si>
  <si>
    <t xml:space="preserve">Maria Toledo</t>
  </si>
  <si>
    <t xml:space="preserve">Roberto Castro</t>
  </si>
  <si>
    <t xml:space="preserve">Lisandro Molina</t>
  </si>
  <si>
    <t xml:space="preserve">Maria C Pille</t>
  </si>
  <si>
    <t xml:space="preserve">Juan Carlos Lopez</t>
  </si>
  <si>
    <t xml:space="preserve">Jonathan Garcia Perez</t>
  </si>
  <si>
    <t xml:space="preserve">Elena Garnica</t>
  </si>
  <si>
    <t xml:space="preserve">David Martinez Juarez</t>
  </si>
  <si>
    <t xml:space="preserve">Alvaro Cruz Lopez</t>
  </si>
  <si>
    <t xml:space="preserve">Desoje</t>
  </si>
  <si>
    <t xml:space="preserve">Rosa Baeza</t>
  </si>
  <si>
    <t xml:space="preserve">Alex Palacios</t>
  </si>
  <si>
    <t xml:space="preserve">Edi Yunue Vega Bustamante</t>
  </si>
  <si>
    <t xml:space="preserve">Maria Herlinda Zavala</t>
  </si>
  <si>
    <t xml:space="preserve">Eduardo Leon</t>
  </si>
  <si>
    <t xml:space="preserve">Gilberto Diaz</t>
  </si>
  <si>
    <t xml:space="preserve">Raquel Garcia</t>
  </si>
  <si>
    <t xml:space="preserve">Cuartos</t>
  </si>
  <si>
    <t xml:space="preserve">Kevin Sicairos</t>
  </si>
  <si>
    <t xml:space="preserve">Chofer</t>
  </si>
  <si>
    <t xml:space="preserve">Jorge Rojas (sale 5am)</t>
  </si>
  <si>
    <t xml:space="preserve">Alma Garcia</t>
  </si>
  <si>
    <t xml:space="preserve">Ernesto Daniel Sicairos (sale 4am)</t>
  </si>
  <si>
    <t xml:space="preserve">Yuliana Rivas Garcia</t>
  </si>
  <si>
    <t xml:space="preserve">Antonio Rivas (sale 3am)</t>
  </si>
  <si>
    <t xml:space="preserve">Sr. Juan Ninche</t>
  </si>
  <si>
    <t xml:space="preserve">Antonio Sonato (sale 6am)</t>
  </si>
  <si>
    <t xml:space="preserve">Flor Sierra</t>
  </si>
  <si>
    <t xml:space="preserve">Maria Elena Mendoza</t>
  </si>
  <si>
    <t xml:space="preserve">Rosa Navarro</t>
  </si>
  <si>
    <t xml:space="preserve">Brenda Olivas</t>
  </si>
  <si>
    <t xml:space="preserve">Elisa Cervantes</t>
  </si>
  <si>
    <t xml:space="preserve">Pesar</t>
  </si>
  <si>
    <t xml:space="preserve">Ernestina Garcia</t>
  </si>
  <si>
    <t xml:space="preserve">Comodín proceso</t>
  </si>
  <si>
    <t xml:space="preserve">David Cruz</t>
  </si>
  <si>
    <t xml:space="preserve">Mobius</t>
  </si>
  <si>
    <t xml:space="preserve">Alicia Morales</t>
  </si>
  <si>
    <t xml:space="preserve">RESUMEN / SUMMARY</t>
  </si>
  <si>
    <t xml:space="preserve">Fecha:</t>
  </si>
  <si>
    <t xml:space="preserve">Se llena solo desde 'Plan del Día'. No escribir aquí. / Auto-filled.</t>
  </si>
  <si>
    <t xml:space="preserve">Proyecto</t>
  </si>
  <si>
    <t xml:space="preserve">Sitio</t>
  </si>
  <si>
    <t xml:space="preserve">Inicio</t>
  </si>
  <si>
    <t xml:space="preserve">Fin</t>
  </si>
  <si>
    <t xml:space="preserve">Líder</t>
  </si>
  <si>
    <t xml:space="preserve">Nombrados</t>
  </si>
  <si>
    <t xml:space="preserve">Contratistas</t>
  </si>
  <si>
    <t xml:space="preserve">Contratistas #</t>
  </si>
  <si>
    <t xml:space="preserve">TOTAL</t>
  </si>
  <si>
    <t xml:space="preserve">Notas</t>
  </si>
  <si>
    <t xml:space="preserve">PERSONAS POR RESPONSABILIDAD / PEOPLE BY RESPONSIBILITY</t>
  </si>
  <si>
    <t xml:space="preserve">Personas</t>
  </si>
  <si>
    <t xml:space="preserve">(sin responsabilidad)</t>
  </si>
  <si>
    <t xml:space="preserve">Otra (no está en Listas)</t>
  </si>
  <si>
    <t xml:space="preserve">Sin contar líderes ni contratistas. "(sin responsabilidad)" = nombre sin responsabilidad arriba: corregir.</t>
  </si>
  <si>
    <t xml:space="preserve">CÓMO USAR / HOW TO USE</t>
  </si>
  <si>
    <t xml:space="preserve">Idea</t>
  </si>
  <si>
    <t xml:space="preserve">Cada bloque de 2 columnas es un PROYECTO del día (como en la Master Schedule). Abajo, cada persona en su fila con su RESPONSABILIDAD al lado. / Each 2-column block is one project; each person on a row with their responsibility next to them.</t>
  </si>
  <si>
    <t xml:space="preserve">Cada día / Each day</t>
  </si>
  <si>
    <t xml:space="preserve">1) Duplica 'Plan del Día' para guardarlo (clic derecho &gt; Duplicar) y ponle la fecha. 2) Borra las celdas crema y llena el nuevo día. 3) En la app: Plan Maestro → Proyectos → ⇪ Importar plan del día, y sube el archivo (o pega las celdas). / Duplicate to archive, clear, fill, then Master Schedule → Projects → Import day plan.</t>
  </si>
  <si>
    <t xml:space="preserve">Proyecto (naranja)</t>
  </si>
  <si>
    <t xml:space="preserve">Nombre corto del trabajo: Bucking, Prerolls, Trimming, Harvest Intake, Harvest, Watering, Fresh Frozen, Dry Take Down… La fecha se agrega sola. Mismo sitio con dos trabajos distintos = dos bloques. / Short job name; date added automatically.</t>
  </si>
  <si>
    <t xml:space="preserve">Menú: Adobe, Airway, Wildcat, Comstock, Lucerne, Sulphur Bank, Highland, Otro (si es Otro, escribe el lugar en Notas).</t>
  </si>
  <si>
    <t xml:space="preserve">Horario</t>
  </si>
  <si>
    <t xml:space="preserve">Inicio a la izquierda, fin a la derecha. Texto libre: 7am, 3:30pm, 16:00. Si no sabes el fin, déjalo en blanco (se usan 8 horas).</t>
  </si>
  <si>
    <t xml:space="preserve">Líder (verde)</t>
  </si>
  <si>
    <t xml:space="preserve">Una persona. Cuenta en el total: no la repitas abajo.</t>
  </si>
  <si>
    <t xml:space="preserve">Nombre del contratista (Juan) y CUÁNTOS (solo número). La fila de abajo es su horario solo si es distinto al del proyecto. Contratista 2 = otro turno (ej. colgar a las 5:30pm). No los pongas en la lista de personas.</t>
  </si>
  <si>
    <t xml:space="preserve">PERSONAS</t>
  </si>
  <si>
    <t xml:space="preserve">Una persona por fila (hasta 50). Columna izquierda = RESPONSABILIDAD (se pinta roja), derecha = NOMBRE. Escribe la responsabilidad solo en la primera persona del grupo: en blanco = la misma de arriba. Usa el menú para que el nombre quede igual que en Connecteam.</t>
  </si>
  <si>
    <t xml:space="preserve">Responsabilidad primero</t>
  </si>
  <si>
    <t xml:space="preserve">IMPORTANTE: la responsabilidad va en la MISMA fila que la primera persona del grupo, nunca en una fila sola encima o debajo. / The responsibility goes on the same row as the first person of its group.</t>
  </si>
  <si>
    <t xml:space="preserve">Notas entre paréntesis</t>
  </si>
  <si>
    <t xml:space="preserve">Lo que va entre ( ) es una nota: 'Jorge Rojas (sale 5am)', 'Colgar (5:30pm-2am)'. Una hora en la responsabilidad = esa responsabilidad tiene otro horario. No cuenta al comparar nombres.</t>
  </si>
  <si>
    <t xml:space="preserve">Nombres repetidos (amarillo)</t>
  </si>
  <si>
    <t xml:space="preserve">Si alguien aparece dos veces en el día (líder incluido) se pinta amarillo. Si de verdad trabaja en dos proyectos, pon la hora en paréntesis en los dos.</t>
  </si>
  <si>
    <t xml:space="preserve">Menús</t>
  </si>
  <si>
    <t xml:space="preserve">Si escribes algo que no está en el menú sale un aviso; puedes seguir. Nombres nuevos: agrégalos en 'Personal'. Responsabilidades nuevas: agrégalas en 'Listas'.</t>
  </si>
  <si>
    <t xml:space="preserve">Resumen</t>
  </si>
  <si>
    <t xml:space="preserve">Una fila por proyecto y personas por responsabilidad. Si sale "(sin responsabilidad)" hay un nombre sin responsabilidad arriba.</t>
  </si>
  <si>
    <t xml:space="preserve">Personal</t>
  </si>
  <si>
    <t xml:space="preserve">Lista de Connecteam al 2026-10-19 (para el menú de nombres). Si un nombre está dos veces (dos "Maria Mendoza"), al importar se elige cuál.</t>
  </si>
  <si>
    <t xml:space="preserve">Columnas ocultas</t>
  </si>
  <si>
    <t xml:space="preserve">Las columnas después de Q son cálculos. No borrar.</t>
  </si>
  <si>
    <t xml:space="preserve">Colores / Colors</t>
  </si>
  <si>
    <t xml:space="preserve">Escribir aquí / Type here</t>
  </si>
  <si>
    <t xml:space="preserve">Nombre repetido / Repeated</t>
  </si>
  <si>
    <t xml:space="preserve">English</t>
  </si>
  <si>
    <t xml:space="preserve">Proceso (app)</t>
  </si>
  <si>
    <t xml:space="preserve">Agrega responsabilidades nuevas abajo en la columna A (crema). Proceso (app) = el proceso de la Labor Log; Claude lo usa al crear los proyectos.</t>
  </si>
  <si>
    <t xml:space="preserve">Harvest / cut</t>
  </si>
  <si>
    <t xml:space="preserve">harvest</t>
  </si>
  <si>
    <t xml:space="preserve">Fresh frozen harvest</t>
  </si>
  <si>
    <t xml:space="preserve">fresh_frozen</t>
  </si>
  <si>
    <t xml:space="preserve">Airway</t>
  </si>
  <si>
    <t xml:space="preserve">Hang (wet intake)</t>
  </si>
  <si>
    <t xml:space="preserve">intake_wet</t>
  </si>
  <si>
    <t xml:space="preserve">Pesar cajas</t>
  </si>
  <si>
    <t xml:space="preserve">Weigh boxes (wet intake)</t>
  </si>
  <si>
    <t xml:space="preserve">Metrc</t>
  </si>
  <si>
    <t xml:space="preserve">Metrc / tags</t>
  </si>
  <si>
    <t xml:space="preserve">(project's process)</t>
  </si>
  <si>
    <t xml:space="preserve">Lucerne</t>
  </si>
  <si>
    <t xml:space="preserve">Rooms</t>
  </si>
  <si>
    <t xml:space="preserve">other</t>
  </si>
  <si>
    <t xml:space="preserve">Descolgar</t>
  </si>
  <si>
    <t xml:space="preserve">Take down (dry)</t>
  </si>
  <si>
    <t xml:space="preserve">dry_check</t>
  </si>
  <si>
    <t xml:space="preserve">Highland</t>
  </si>
  <si>
    <t xml:space="preserve">Bucking / de-stem</t>
  </si>
  <si>
    <t xml:space="preserve">buck</t>
  </si>
  <si>
    <t xml:space="preserve">Otro</t>
  </si>
  <si>
    <t xml:space="preserve">Leaf strip</t>
  </si>
  <si>
    <t xml:space="preserve">Weigh (bucking)</t>
  </si>
  <si>
    <t xml:space="preserve">Floater - process</t>
  </si>
  <si>
    <t xml:space="preserve">Mobius machine</t>
  </si>
  <si>
    <t xml:space="preserve">machine_trim</t>
  </si>
  <si>
    <t xml:space="preserve">Trim</t>
  </si>
  <si>
    <t xml:space="preserve">Hand trim</t>
  </si>
  <si>
    <t xml:space="preserve">hand_trim</t>
  </si>
  <si>
    <t xml:space="preserve">Smalls</t>
  </si>
  <si>
    <t xml:space="preserve">Smalls trim</t>
  </si>
  <si>
    <t xml:space="preserve">smalls_trim</t>
  </si>
  <si>
    <t xml:space="preserve">Pre-rolls</t>
  </si>
  <si>
    <t xml:space="preserve">preroll_production</t>
  </si>
  <si>
    <t xml:space="preserve">Driver</t>
  </si>
  <si>
    <t xml:space="preserve">transport</t>
  </si>
  <si>
    <t xml:space="preserve">Bomba</t>
  </si>
  <si>
    <t xml:space="preserve">Pump</t>
  </si>
  <si>
    <t xml:space="preserve">Other - explain in Notas</t>
  </si>
  <si>
    <t xml:space="preserve">Nombre (Connecteam)</t>
  </si>
  <si>
    <t xml:space="preserve">Lista de Connecteam al 2026-10-19 (239 nombres). Agrega nombres nuevos al final.</t>
  </si>
  <si>
    <t xml:space="preserve">Abimael Aguilar Ruiz</t>
  </si>
  <si>
    <t xml:space="preserve">Abraham Garcia</t>
  </si>
  <si>
    <t xml:space="preserve">Adin Aguilar</t>
  </si>
  <si>
    <t xml:space="preserve">Adolfo Valentin Navarrete</t>
  </si>
  <si>
    <t xml:space="preserve">Adrian Garcia</t>
  </si>
  <si>
    <t xml:space="preserve">Alfredo Cruz Cruz</t>
  </si>
  <si>
    <t xml:space="preserve">Alfredo Lopez Lopez</t>
  </si>
  <si>
    <t xml:space="preserve">Alonzo Ballardo</t>
  </si>
  <si>
    <t xml:space="preserve">Amaya Lopez Mendez</t>
  </si>
  <si>
    <t xml:space="preserve">Anayeli Ruiz</t>
  </si>
  <si>
    <t xml:space="preserve">Andres Beltran</t>
  </si>
  <si>
    <t xml:space="preserve">Angel Ruiz Lopez</t>
  </si>
  <si>
    <t xml:space="preserve">Antonio Hernandez Castro</t>
  </si>
  <si>
    <t xml:space="preserve">Antonio Rivas</t>
  </si>
  <si>
    <t xml:space="preserve">Antonio Solorio</t>
  </si>
  <si>
    <t xml:space="preserve">Antonio Sonato</t>
  </si>
  <si>
    <t xml:space="preserve">Antonio Vega Flores</t>
  </si>
  <si>
    <t xml:space="preserve">Any Briceida Cruz Mendez</t>
  </si>
  <si>
    <t xml:space="preserve">Axel Aguilar Lopez</t>
  </si>
  <si>
    <t xml:space="preserve">Axel Cruz Calvo</t>
  </si>
  <si>
    <t xml:space="preserve">Braulio Cruz Lopez</t>
  </si>
  <si>
    <t xml:space="preserve">Brayan Santos</t>
  </si>
  <si>
    <t xml:space="preserve">Brenda Romero</t>
  </si>
  <si>
    <t xml:space="preserve">Candido Martinez</t>
  </si>
  <si>
    <t xml:space="preserve">Carina Martinez</t>
  </si>
  <si>
    <t xml:space="preserve">Carlos Cruz Aguilar</t>
  </si>
  <si>
    <t xml:space="preserve">Carlos Daniel Cruz Calvo</t>
  </si>
  <si>
    <t xml:space="preserve">Carmela Mata</t>
  </si>
  <si>
    <t xml:space="preserve">Cesar Calvo Jimenez</t>
  </si>
  <si>
    <t xml:space="preserve">Cesar Martinez</t>
  </si>
  <si>
    <t xml:space="preserve">Clarissa Rivera</t>
  </si>
  <si>
    <t xml:space="preserve">Cristal Alvarado</t>
  </si>
  <si>
    <t xml:space="preserve">Cristian Mendez Arias</t>
  </si>
  <si>
    <t xml:space="preserve">Cristina Beltran</t>
  </si>
  <si>
    <t xml:space="preserve">Cristina Covarrubias</t>
  </si>
  <si>
    <t xml:space="preserve">Daniela Trujillo</t>
  </si>
  <si>
    <t xml:space="preserve">David Cruz Aguilar</t>
  </si>
  <si>
    <t xml:space="preserve">David Garcia</t>
  </si>
  <si>
    <t xml:space="preserve">David Morales</t>
  </si>
  <si>
    <t xml:space="preserve">Dolores Jeronimo</t>
  </si>
  <si>
    <t xml:space="preserve">Domi Pardo</t>
  </si>
  <si>
    <t xml:space="preserve">Eber Calvo Lopez</t>
  </si>
  <si>
    <t xml:space="preserve">Eder Santiago Mendez Calvo</t>
  </si>
  <si>
    <t xml:space="preserve">Edmer Aguilar</t>
  </si>
  <si>
    <t xml:space="preserve">Edy Cruz Calvo</t>
  </si>
  <si>
    <t xml:space="preserve">Eleazar Marin Cruz</t>
  </si>
  <si>
    <t xml:space="preserve">Elias Jeronimo</t>
  </si>
  <si>
    <t xml:space="preserve">Elio Aguilar</t>
  </si>
  <si>
    <t xml:space="preserve">Eliseo Hernandez Garcia</t>
  </si>
  <si>
    <t xml:space="preserve">Erika Beltran</t>
  </si>
  <si>
    <t xml:space="preserve">Ernesto Daniel Sicairos</t>
  </si>
  <si>
    <t xml:space="preserve">Esteban Cruz Aguilar</t>
  </si>
  <si>
    <t xml:space="preserve">Esther Ramirez</t>
  </si>
  <si>
    <t xml:space="preserve">Eva Quintana</t>
  </si>
  <si>
    <t xml:space="preserve">Felix Solorio</t>
  </si>
  <si>
    <t xml:space="preserve">Fernando Carrillo</t>
  </si>
  <si>
    <t xml:space="preserve">Flavio Calvo Cruz</t>
  </si>
  <si>
    <t xml:space="preserve">Florindo Mendez</t>
  </si>
  <si>
    <t xml:space="preserve">Francisco Garcia</t>
  </si>
  <si>
    <t xml:space="preserve">Francisco Jimenez</t>
  </si>
  <si>
    <t xml:space="preserve">Francisco Lopez Mendez</t>
  </si>
  <si>
    <t xml:space="preserve">Francisco Martinez</t>
  </si>
  <si>
    <t xml:space="preserve">Gabriel Espinoza</t>
  </si>
  <si>
    <t xml:space="preserve">Gabriel Ramirez Mendez</t>
  </si>
  <si>
    <t xml:space="preserve">Gabriel Santiz Ruiz</t>
  </si>
  <si>
    <t xml:space="preserve">Georgina Mendez</t>
  </si>
  <si>
    <t xml:space="preserve">Geovani Vega</t>
  </si>
  <si>
    <t xml:space="preserve">Guadalupe Mendoza</t>
  </si>
  <si>
    <t xml:space="preserve">Guillermo Gomez</t>
  </si>
  <si>
    <t xml:space="preserve">Guillermo Guzman</t>
  </si>
  <si>
    <t xml:space="preserve">Gustavo Garcia Garcia</t>
  </si>
  <si>
    <t xml:space="preserve">Helmer Lopez Lopez</t>
  </si>
  <si>
    <t xml:space="preserve">Herlinda Valencia</t>
  </si>
  <si>
    <t xml:space="preserve">Humberto Mendez Arias</t>
  </si>
  <si>
    <t xml:space="preserve">Ignacio Gonzalez Gonzalez</t>
  </si>
  <si>
    <t xml:space="preserve">Ignacio Toche</t>
  </si>
  <si>
    <t xml:space="preserve">Irma Mendez</t>
  </si>
  <si>
    <t xml:space="preserve">Isabel Morales</t>
  </si>
  <si>
    <t xml:space="preserve">Isidro Garcia</t>
  </si>
  <si>
    <t xml:space="preserve">Israel F. Lopez Calvo</t>
  </si>
  <si>
    <t xml:space="preserve">Ivan Cruz Lopez</t>
  </si>
  <si>
    <t xml:space="preserve">Jacqueline Orozco</t>
  </si>
  <si>
    <t xml:space="preserve">Jaime Lopez Jimenez</t>
  </si>
  <si>
    <t xml:space="preserve">Jasmin Linares</t>
  </si>
  <si>
    <t xml:space="preserve">Javier Contreras</t>
  </si>
  <si>
    <t xml:space="preserve">Javier Solorio</t>
  </si>
  <si>
    <t xml:space="preserve">Jesus Chavez</t>
  </si>
  <si>
    <t xml:space="preserve">Jesus Garcia Martinez</t>
  </si>
  <si>
    <t xml:space="preserve">Jesus Ramirez</t>
  </si>
  <si>
    <t xml:space="preserve">Jimmy Santos</t>
  </si>
  <si>
    <t xml:space="preserve">Jocelyn Solorio</t>
  </si>
  <si>
    <t xml:space="preserve">Jonathan A. Castorena</t>
  </si>
  <si>
    <t xml:space="preserve">Jorge Calvo Cruz</t>
  </si>
  <si>
    <t xml:space="preserve">Jorge Eliceo Hernandez</t>
  </si>
  <si>
    <t xml:space="preserve">Jorge Rojas</t>
  </si>
  <si>
    <t xml:space="preserve">Jorge Sanchez</t>
  </si>
  <si>
    <t xml:space="preserve">Jorge Saul Lopez Cruz</t>
  </si>
  <si>
    <t xml:space="preserve">Jose Alejandro Gastelum</t>
  </si>
  <si>
    <t xml:space="preserve">Jose Alejandro Mendez Mendez</t>
  </si>
  <si>
    <t xml:space="preserve">Jose Alfredo Santis Lopez</t>
  </si>
  <si>
    <t xml:space="preserve">Jose Angel Lope Lopez</t>
  </si>
  <si>
    <t xml:space="preserve">Jose David Lopez</t>
  </si>
  <si>
    <t xml:space="preserve">Jose Guadalupe Martinez</t>
  </si>
  <si>
    <t xml:space="preserve">Jose Luis M Domingez</t>
  </si>
  <si>
    <t xml:space="preserve">Jose Santiz Calvo</t>
  </si>
  <si>
    <t xml:space="preserve">Juan Carlos Cruz Cruz</t>
  </si>
  <si>
    <t xml:space="preserve">Juan Carlos Mendoza</t>
  </si>
  <si>
    <t xml:space="preserve">Juan Garcia Garcia</t>
  </si>
  <si>
    <t xml:space="preserve">Juan Ismael Lopez Mendez</t>
  </si>
  <si>
    <t xml:space="preserve">Juan Lopez Mendez</t>
  </si>
  <si>
    <t xml:space="preserve">Juan Salazar</t>
  </si>
  <si>
    <t xml:space="preserve">Julio Cesar Lopez Mendez</t>
  </si>
  <si>
    <t xml:space="preserve">Julio Hernandez</t>
  </si>
  <si>
    <t xml:space="preserve">Julissa Martinez</t>
  </si>
  <si>
    <t xml:space="preserve">Karen Espinoza</t>
  </si>
  <si>
    <t xml:space="preserve">Kevin Gastelum</t>
  </si>
  <si>
    <t xml:space="preserve">Leopoldo Trujillo</t>
  </si>
  <si>
    <t xml:space="preserve">Lorena Soto</t>
  </si>
  <si>
    <t xml:space="preserve">Loreto Chavez</t>
  </si>
  <si>
    <t xml:space="preserve">Luis Guzman</t>
  </si>
  <si>
    <t xml:space="preserve">Luis Martinez Romero</t>
  </si>
  <si>
    <t xml:space="preserve">Luz Lule</t>
  </si>
  <si>
    <t xml:space="preserve">Manuel Ramirez</t>
  </si>
  <si>
    <t xml:space="preserve">Manuel Sanchez</t>
  </si>
  <si>
    <t xml:space="preserve">Manuel Solorio</t>
  </si>
  <si>
    <t xml:space="preserve">Manuel Valencia</t>
  </si>
  <si>
    <t xml:space="preserve">Marcelo Beltran</t>
  </si>
  <si>
    <t xml:space="preserve">Marco Antonio Garcia</t>
  </si>
  <si>
    <t xml:space="preserve">Margarita Chavez</t>
  </si>
  <si>
    <t xml:space="preserve">Maria Alvarez</t>
  </si>
  <si>
    <t xml:space="preserve">Maria del Rosario Martinez</t>
  </si>
  <si>
    <t xml:space="preserve">Maria Dolores Mendez</t>
  </si>
  <si>
    <t xml:space="preserve">Maria Gpe. Casarez Garcia</t>
  </si>
  <si>
    <t xml:space="preserve">Maria Guadalupe Hernandez</t>
  </si>
  <si>
    <t xml:space="preserve">Maria Mendoza</t>
  </si>
  <si>
    <t xml:space="preserve">Maria Rosibell Cortez</t>
  </si>
  <si>
    <t xml:space="preserve">Maria Solorio</t>
  </si>
  <si>
    <t xml:space="preserve">Maria Yariza Perez</t>
  </si>
  <si>
    <t xml:space="preserve">Maribel Ramirez</t>
  </si>
  <si>
    <t xml:space="preserve">Mario Calvo Cruz</t>
  </si>
  <si>
    <t xml:space="preserve">Miguel A. Calvo Santis</t>
  </si>
  <si>
    <t xml:space="preserve">Miguel Angel Calvo</t>
  </si>
  <si>
    <t xml:space="preserve">Mireya Gaspar</t>
  </si>
  <si>
    <t xml:space="preserve">Miriam Calix</t>
  </si>
  <si>
    <t xml:space="preserve">Moises Duarte</t>
  </si>
  <si>
    <t xml:space="preserve">Nalleli Solorio</t>
  </si>
  <si>
    <t xml:space="preserve">Natanael Calvo Ruiz</t>
  </si>
  <si>
    <t xml:space="preserve">Natanael Cruz Mendez</t>
  </si>
  <si>
    <t xml:space="preserve">Noe Cruz Lopez</t>
  </si>
  <si>
    <t xml:space="preserve">Noe Hernandez Sarmiento</t>
  </si>
  <si>
    <t xml:space="preserve">Orlando Reyes</t>
  </si>
  <si>
    <t xml:space="preserve">Oscar Cruz Ruiz</t>
  </si>
  <si>
    <t xml:space="preserve">Pablo Montiel</t>
  </si>
  <si>
    <t xml:space="preserve">Paty Ninche</t>
  </si>
  <si>
    <t xml:space="preserve">Pedro Mendoza</t>
  </si>
  <si>
    <t xml:space="preserve">Raul Hernandez</t>
  </si>
  <si>
    <t xml:space="preserve">Raul Romero</t>
  </si>
  <si>
    <t xml:space="preserve">Rene Luna</t>
  </si>
  <si>
    <t xml:space="preserve">Reyli Edgar Mendez Cruz</t>
  </si>
  <si>
    <t xml:space="preserve">Robert Cordtz</t>
  </si>
  <si>
    <t xml:space="preserve">Roberto Reyes</t>
  </si>
  <si>
    <t xml:space="preserve">Rodrigo Rojas</t>
  </si>
  <si>
    <t xml:space="preserve">Roman Beltran</t>
  </si>
  <si>
    <t xml:space="preserve">Rosa Francisco Jimenez</t>
  </si>
  <si>
    <t xml:space="preserve">Rosa Hernandez</t>
  </si>
  <si>
    <t xml:space="preserve">Rosa Maria Cruz Ruiz</t>
  </si>
  <si>
    <t xml:space="preserve">Rosa Solorio</t>
  </si>
  <si>
    <t xml:space="preserve">Samantha Hernandez Cruz</t>
  </si>
  <si>
    <t xml:space="preserve">Santiago Garcia</t>
  </si>
  <si>
    <t xml:space="preserve">Sergio Ayala</t>
  </si>
  <si>
    <t xml:space="preserve">Sergio Martinez</t>
  </si>
  <si>
    <t xml:space="preserve">Sheree Furr</t>
  </si>
  <si>
    <t xml:space="preserve">Silverio Aguilar Gutierrez</t>
  </si>
  <si>
    <t xml:space="preserve">Silvestre Gutierrez</t>
  </si>
  <si>
    <t xml:space="preserve">Silvia Marin</t>
  </si>
  <si>
    <t xml:space="preserve">Susana Mendez</t>
  </si>
  <si>
    <t xml:space="preserve">Teresa Gutierrez</t>
  </si>
  <si>
    <t xml:space="preserve">Toni Ruiz Calvo</t>
  </si>
  <si>
    <t xml:space="preserve">Trinidad Moreno</t>
  </si>
  <si>
    <t xml:space="preserve">Triny Serrato</t>
  </si>
  <si>
    <t xml:space="preserve">Vicente Garcia</t>
  </si>
  <si>
    <t xml:space="preserve">Victor M. Lopez Parada</t>
  </si>
  <si>
    <t xml:space="preserve">Victor Mendoza</t>
  </si>
  <si>
    <t xml:space="preserve">Viridiana Chavez</t>
  </si>
  <si>
    <t xml:space="preserve">Yadira Gomez</t>
  </si>
  <si>
    <t xml:space="preserve">Yalitza Hansell</t>
  </si>
  <si>
    <t xml:space="preserve">Yesenia Alvarez</t>
  </si>
  <si>
    <t xml:space="preserve">Yesenia Naranjo</t>
  </si>
  <si>
    <t xml:space="preserve">Yoni Calvo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</si>
</sst>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9"/>
      <name val="Arial"/>
      <family val="0"/>
      <charset val="1"/>
    </font>
    <font>
      <sz val="1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99999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8E7"/>
        <bgColor rgb="FFFFFFFF"/>
      </patternFill>
    </fill>
    <fill>
      <patternFill patternType="solid">
        <fgColor rgb="FFEDEDED"/>
        <bgColor rgb="FFFFF8E7"/>
      </patternFill>
    </fill>
    <fill>
      <patternFill patternType="solid">
        <fgColor rgb="FFF4A340"/>
        <bgColor rgb="FFFFCC00"/>
      </patternFill>
    </fill>
    <fill>
      <patternFill patternType="solid">
        <fgColor rgb="FFC6EFCE"/>
        <bgColor rgb="FFCCFFFF"/>
      </patternFill>
    </fill>
    <fill>
      <patternFill patternType="solid">
        <fgColor rgb="FF595959"/>
        <bgColor rgb="FF333333"/>
      </patternFill>
    </fill>
    <fill>
      <patternFill patternType="solid">
        <fgColor rgb="FFE06666"/>
        <bgColor rgb="FFFF6600"/>
      </patternFill>
    </fill>
    <fill>
      <patternFill patternType="solid">
        <fgColor rgb="FFFFEB84"/>
        <bgColor rgb="FFFFCC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FFFFFF"/>
      </font>
      <fill>
        <patternFill>
          <bgColor rgb="FFE06666"/>
        </patternFill>
      </fill>
    </dxf>
    <dxf>
      <fill>
        <patternFill>
          <bgColor rgb="FFFFEB8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8E7"/>
      <rgbColor rgb="FFEDEDED"/>
      <rgbColor rgb="FF660066"/>
      <rgbColor rgb="FFE0666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84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4A340"/>
      <rgbColor rgb="FFFF6600"/>
      <rgbColor rgb="FF59595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A340"/>
    <pageSetUpPr fitToPage="false"/>
  </sheetPr>
  <dimension ref="A1:AU6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16"/>
    <col collapsed="false" customWidth="true" hidden="false" outlineLevel="0" max="7" min="7" style="0" width="24"/>
    <col collapsed="false" customWidth="true" hidden="false" outlineLevel="0" max="8" min="8" style="0" width="16"/>
    <col collapsed="false" customWidth="true" hidden="false" outlineLevel="0" max="9" min="9" style="0" width="24"/>
    <col collapsed="false" customWidth="true" hidden="false" outlineLevel="0" max="10" min="10" style="0" width="16"/>
    <col collapsed="false" customWidth="true" hidden="false" outlineLevel="0" max="11" min="11" style="0" width="24"/>
    <col collapsed="false" customWidth="true" hidden="false" outlineLevel="0" max="12" min="12" style="0" width="16"/>
    <col collapsed="false" customWidth="true" hidden="false" outlineLevel="0" max="13" min="13" style="0" width="24"/>
    <col collapsed="false" customWidth="true" hidden="false" outlineLevel="0" max="14" min="14" style="0" width="16"/>
    <col collapsed="false" customWidth="true" hidden="false" outlineLevel="0" max="15" min="15" style="0" width="24"/>
    <col collapsed="false" customWidth="true" hidden="false" outlineLevel="0" max="16" min="16" style="0" width="16"/>
    <col collapsed="false" customWidth="true" hidden="false" outlineLevel="0" max="17" min="17" style="0" width="24"/>
    <col collapsed="false" customWidth="true" hidden="true" outlineLevel="0" max="47" min="18" style="0" width="13"/>
  </cols>
  <sheetData>
    <row r="1" customFormat="false" ht="17.35" hidden="false" customHeight="false" outlineLevel="0" collapsed="false">
      <c r="A1" s="1" t="s">
        <v>0</v>
      </c>
      <c r="B1" s="2" t="s">
        <v>1</v>
      </c>
      <c r="C1" s="3"/>
      <c r="D1" s="3"/>
      <c r="F1" s="2" t="s">
        <v>2</v>
      </c>
      <c r="G1" s="4" t="n">
        <f aca="false">B13+D13+F13+H13+J13+L13+N13+P13</f>
        <v>0</v>
      </c>
      <c r="I1" s="2" t="s">
        <v>3</v>
      </c>
      <c r="J1" s="4" t="n">
        <f aca="false">SUMPRODUCT(($AN$6:$AU$64&lt;&gt;"")*(COUNTIF($AN$6:$AU$64,$AN$6:$AU$64)&gt;1))</f>
        <v>0</v>
      </c>
    </row>
    <row r="2" customFormat="false" ht="15" hidden="false" customHeight="false" outlineLevel="0" collapsed="false">
      <c r="A2" s="5" t="s">
        <v>4</v>
      </c>
    </row>
    <row r="3" customFormat="false" ht="15" hidden="false" customHeight="false" outlineLevel="0" collapsed="false">
      <c r="A3" s="6" t="s">
        <v>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customFormat="false" ht="15" hidden="false" customHeight="false" outlineLevel="0" collapsed="false">
      <c r="A4" s="6" t="s">
        <v>6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customFormat="false" ht="15" hidden="false" customHeight="false" outlineLevel="0" collapsed="false">
      <c r="A5" s="6" t="s">
        <v>7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customFormat="false" ht="15" hidden="false" customHeight="false" outlineLevel="0" collapsed="false">
      <c r="A6" s="6" t="s">
        <v>8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AN6" s="10" t="str">
        <f aca="false">IF(B6="","",TRIM(IFERROR(LEFT(B6,FIND("(",B6)-1),B6)))</f>
        <v/>
      </c>
      <c r="AO6" s="10" t="str">
        <f aca="false">IF(D6="","",TRIM(IFERROR(LEFT(D6,FIND("(",D6)-1),D6)))</f>
        <v/>
      </c>
      <c r="AP6" s="10" t="str">
        <f aca="false">IF(F6="","",TRIM(IFERROR(LEFT(F6,FIND("(",F6)-1),F6)))</f>
        <v/>
      </c>
      <c r="AQ6" s="10" t="str">
        <f aca="false">IF(H6="","",TRIM(IFERROR(LEFT(H6,FIND("(",H6)-1),H6)))</f>
        <v/>
      </c>
      <c r="AR6" s="10" t="str">
        <f aca="false">IF(J6="","",TRIM(IFERROR(LEFT(J6,FIND("(",J6)-1),J6)))</f>
        <v/>
      </c>
      <c r="AS6" s="10" t="str">
        <f aca="false">IF(L6="","",TRIM(IFERROR(LEFT(L6,FIND("(",L6)-1),L6)))</f>
        <v/>
      </c>
      <c r="AT6" s="10" t="str">
        <f aca="false">IF(N6="","",TRIM(IFERROR(LEFT(N6,FIND("(",N6)-1),N6)))</f>
        <v/>
      </c>
      <c r="AU6" s="10" t="str">
        <f aca="false">IF(P6="","",TRIM(IFERROR(LEFT(P6,FIND("(",P6)-1),P6)))</f>
        <v/>
      </c>
    </row>
    <row r="7" customFormat="false" ht="22.35" hidden="false" customHeight="false" outlineLevel="0" collapsed="false">
      <c r="A7" s="6" t="s">
        <v>9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</row>
    <row r="8" customFormat="false" ht="15" hidden="false" customHeight="false" outlineLevel="0" collapsed="false">
      <c r="A8" s="6" t="s">
        <v>10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customFormat="false" ht="22.35" hidden="false" customHeight="false" outlineLevel="0" collapsed="false">
      <c r="A9" s="6" t="s">
        <v>11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customFormat="false" ht="15" hidden="false" customHeight="false" outlineLevel="0" collapsed="false">
      <c r="A10" s="6" t="s">
        <v>12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customFormat="false" ht="30" hidden="false" customHeight="true" outlineLevel="0" collapsed="false">
      <c r="A11" s="6" t="s">
        <v>13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customFormat="false" ht="15" hidden="false" customHeight="false" outlineLevel="0" collapsed="false">
      <c r="A12" s="6" t="s">
        <v>14</v>
      </c>
      <c r="B12" s="11" t="n">
        <f aca="false">(B6&lt;&gt;"")+COUNTA(C15:C64)</f>
        <v>0</v>
      </c>
      <c r="C12" s="11"/>
      <c r="D12" s="11" t="n">
        <f aca="false">(D6&lt;&gt;"")+COUNTA(E15:E64)</f>
        <v>0</v>
      </c>
      <c r="E12" s="11"/>
      <c r="F12" s="11" t="n">
        <f aca="false">(F6&lt;&gt;"")+COUNTA(G15:G64)</f>
        <v>0</v>
      </c>
      <c r="G12" s="11"/>
      <c r="H12" s="11" t="n">
        <f aca="false">(H6&lt;&gt;"")+COUNTA(I15:I64)</f>
        <v>0</v>
      </c>
      <c r="I12" s="11"/>
      <c r="J12" s="11" t="n">
        <f aca="false">(J6&lt;&gt;"")+COUNTA(K15:K64)</f>
        <v>0</v>
      </c>
      <c r="K12" s="11"/>
      <c r="L12" s="11" t="n">
        <f aca="false">(L6&lt;&gt;"")+COUNTA(M15:M64)</f>
        <v>0</v>
      </c>
      <c r="M12" s="11"/>
      <c r="N12" s="11" t="n">
        <f aca="false">(N6&lt;&gt;"")+COUNTA(O15:O64)</f>
        <v>0</v>
      </c>
      <c r="O12" s="11"/>
      <c r="P12" s="11" t="n">
        <f aca="false">(P6&lt;&gt;"")+COUNTA(Q15:Q64)</f>
        <v>0</v>
      </c>
      <c r="Q12" s="11"/>
    </row>
    <row r="13" customFormat="false" ht="15" hidden="false" customHeight="false" outlineLevel="0" collapsed="false">
      <c r="A13" s="6" t="s">
        <v>15</v>
      </c>
      <c r="B13" s="12" t="n">
        <f aca="false">B12+N(C7)+N(C9)</f>
        <v>0</v>
      </c>
      <c r="C13" s="12"/>
      <c r="D13" s="12" t="n">
        <f aca="false">D12+N(E7)+N(E9)</f>
        <v>0</v>
      </c>
      <c r="E13" s="12"/>
      <c r="F13" s="12" t="n">
        <f aca="false">F12+N(G7)+N(G9)</f>
        <v>0</v>
      </c>
      <c r="G13" s="12"/>
      <c r="H13" s="12" t="n">
        <f aca="false">H12+N(I7)+N(I9)</f>
        <v>0</v>
      </c>
      <c r="I13" s="12"/>
      <c r="J13" s="12" t="n">
        <f aca="false">J12+N(K7)+N(K9)</f>
        <v>0</v>
      </c>
      <c r="K13" s="12"/>
      <c r="L13" s="12" t="n">
        <f aca="false">L12+N(M7)+N(M9)</f>
        <v>0</v>
      </c>
      <c r="M13" s="12"/>
      <c r="N13" s="12" t="n">
        <f aca="false">N12+N(O7)+N(O9)</f>
        <v>0</v>
      </c>
      <c r="O13" s="12"/>
      <c r="P13" s="12" t="n">
        <f aca="false">P12+N(Q7)+N(Q9)</f>
        <v>0</v>
      </c>
      <c r="Q13" s="12"/>
    </row>
    <row r="14" customFormat="false" ht="15" hidden="false" customHeight="false" outlineLevel="0" collapsed="false">
      <c r="A14" s="6" t="s">
        <v>16</v>
      </c>
      <c r="B14" s="13" t="s">
        <v>17</v>
      </c>
      <c r="C14" s="13" t="s">
        <v>18</v>
      </c>
      <c r="D14" s="13" t="s">
        <v>17</v>
      </c>
      <c r="E14" s="13" t="s">
        <v>18</v>
      </c>
      <c r="F14" s="13" t="s">
        <v>17</v>
      </c>
      <c r="G14" s="13" t="s">
        <v>18</v>
      </c>
      <c r="H14" s="13" t="s">
        <v>17</v>
      </c>
      <c r="I14" s="13" t="s">
        <v>18</v>
      </c>
      <c r="J14" s="13" t="s">
        <v>17</v>
      </c>
      <c r="K14" s="13" t="s">
        <v>18</v>
      </c>
      <c r="L14" s="13" t="s">
        <v>17</v>
      </c>
      <c r="M14" s="13" t="s">
        <v>18</v>
      </c>
      <c r="N14" s="13" t="s">
        <v>17</v>
      </c>
      <c r="O14" s="13" t="s">
        <v>18</v>
      </c>
      <c r="P14" s="13" t="s">
        <v>17</v>
      </c>
      <c r="Q14" s="13" t="s">
        <v>18</v>
      </c>
    </row>
    <row r="15" customFormat="false" ht="15" hidden="false" customHeight="false" outlineLevel="0" collapsed="false">
      <c r="A15" s="14" t="n">
        <v>1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T15" s="10" t="str">
        <f aca="false">IF(B15&lt;&gt;"",TRIM(IFERROR(LEFT(B15,FIND("(",B15)-1),B15)),"")</f>
        <v/>
      </c>
      <c r="U15" s="10" t="str">
        <f aca="false">IF(D15&lt;&gt;"",TRIM(IFERROR(LEFT(D15,FIND("(",D15)-1),D15)),"")</f>
        <v/>
      </c>
      <c r="V15" s="10" t="str">
        <f aca="false">IF(F15&lt;&gt;"",TRIM(IFERROR(LEFT(F15,FIND("(",F15)-1),F15)),"")</f>
        <v/>
      </c>
      <c r="W15" s="10" t="str">
        <f aca="false">IF(H15&lt;&gt;"",TRIM(IFERROR(LEFT(H15,FIND("(",H15)-1),H15)),"")</f>
        <v/>
      </c>
      <c r="X15" s="10" t="str">
        <f aca="false">IF(J15&lt;&gt;"",TRIM(IFERROR(LEFT(J15,FIND("(",J15)-1),J15)),"")</f>
        <v/>
      </c>
      <c r="Y15" s="10" t="str">
        <f aca="false">IF(L15&lt;&gt;"",TRIM(IFERROR(LEFT(L15,FIND("(",L15)-1),L15)),"")</f>
        <v/>
      </c>
      <c r="Z15" s="10" t="str">
        <f aca="false">IF(N15&lt;&gt;"",TRIM(IFERROR(LEFT(N15,FIND("(",N15)-1),N15)),"")</f>
        <v/>
      </c>
      <c r="AA15" s="10" t="str">
        <f aca="false">IF(P15&lt;&gt;"",TRIM(IFERROR(LEFT(P15,FIND("(",P15)-1),P15)),"")</f>
        <v/>
      </c>
      <c r="AD15" s="10" t="str">
        <f aca="false">IF(C15="","",IF(T15="","(sin responsabilidad)",T15))</f>
        <v/>
      </c>
      <c r="AE15" s="10" t="str">
        <f aca="false">IF(E15="","",IF(U15="","(sin responsabilidad)",U15))</f>
        <v/>
      </c>
      <c r="AF15" s="10" t="str">
        <f aca="false">IF(G15="","",IF(V15="","(sin responsabilidad)",V15))</f>
        <v/>
      </c>
      <c r="AG15" s="10" t="str">
        <f aca="false">IF(I15="","",IF(W15="","(sin responsabilidad)",W15))</f>
        <v/>
      </c>
      <c r="AH15" s="10" t="str">
        <f aca="false">IF(K15="","",IF(X15="","(sin responsabilidad)",X15))</f>
        <v/>
      </c>
      <c r="AI15" s="10" t="str">
        <f aca="false">IF(M15="","",IF(Y15="","(sin responsabilidad)",Y15))</f>
        <v/>
      </c>
      <c r="AJ15" s="10" t="str">
        <f aca="false">IF(O15="","",IF(Z15="","(sin responsabilidad)",Z15))</f>
        <v/>
      </c>
      <c r="AK15" s="10" t="str">
        <f aca="false">IF(Q15="","",IF(AA15="","(sin responsabilidad)",AA15))</f>
        <v/>
      </c>
      <c r="AN15" s="10" t="str">
        <f aca="false">IF(C15="","",TRIM(IFERROR(LEFT(C15,FIND("(",C15)-1),C15)))</f>
        <v/>
      </c>
      <c r="AO15" s="10" t="str">
        <f aca="false">IF(E15="","",TRIM(IFERROR(LEFT(E15,FIND("(",E15)-1),E15)))</f>
        <v/>
      </c>
      <c r="AP15" s="10" t="str">
        <f aca="false">IF(G15="","",TRIM(IFERROR(LEFT(G15,FIND("(",G15)-1),G15)))</f>
        <v/>
      </c>
      <c r="AQ15" s="10" t="str">
        <f aca="false">IF(I15="","",TRIM(IFERROR(LEFT(I15,FIND("(",I15)-1),I15)))</f>
        <v/>
      </c>
      <c r="AR15" s="10" t="str">
        <f aca="false">IF(K15="","",TRIM(IFERROR(LEFT(K15,FIND("(",K15)-1),K15)))</f>
        <v/>
      </c>
      <c r="AS15" s="10" t="str">
        <f aca="false">IF(M15="","",TRIM(IFERROR(LEFT(M15,FIND("(",M15)-1),M15)))</f>
        <v/>
      </c>
      <c r="AT15" s="10" t="str">
        <f aca="false">IF(O15="","",TRIM(IFERROR(LEFT(O15,FIND("(",O15)-1),O15)))</f>
        <v/>
      </c>
      <c r="AU15" s="10" t="str">
        <f aca="false">IF(Q15="","",TRIM(IFERROR(LEFT(Q15,FIND("(",Q15)-1),Q15)))</f>
        <v/>
      </c>
    </row>
    <row r="16" customFormat="false" ht="15" hidden="false" customHeight="false" outlineLevel="0" collapsed="false">
      <c r="A16" s="14" t="n">
        <v>2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T16" s="10" t="str">
        <f aca="false">IF(B16&lt;&gt;"",TRIM(IFERROR(LEFT(B16,FIND("(",B16)-1),B16)),T15)</f>
        <v/>
      </c>
      <c r="U16" s="10" t="str">
        <f aca="false">IF(D16&lt;&gt;"",TRIM(IFERROR(LEFT(D16,FIND("(",D16)-1),D16)),U15)</f>
        <v/>
      </c>
      <c r="V16" s="10" t="str">
        <f aca="false">IF(F16&lt;&gt;"",TRIM(IFERROR(LEFT(F16,FIND("(",F16)-1),F16)),V15)</f>
        <v/>
      </c>
      <c r="W16" s="10" t="str">
        <f aca="false">IF(H16&lt;&gt;"",TRIM(IFERROR(LEFT(H16,FIND("(",H16)-1),H16)),W15)</f>
        <v/>
      </c>
      <c r="X16" s="10" t="str">
        <f aca="false">IF(J16&lt;&gt;"",TRIM(IFERROR(LEFT(J16,FIND("(",J16)-1),J16)),X15)</f>
        <v/>
      </c>
      <c r="Y16" s="10" t="str">
        <f aca="false">IF(L16&lt;&gt;"",TRIM(IFERROR(LEFT(L16,FIND("(",L16)-1),L16)),Y15)</f>
        <v/>
      </c>
      <c r="Z16" s="10" t="str">
        <f aca="false">IF(N16&lt;&gt;"",TRIM(IFERROR(LEFT(N16,FIND("(",N16)-1),N16)),Z15)</f>
        <v/>
      </c>
      <c r="AA16" s="10" t="str">
        <f aca="false">IF(P16&lt;&gt;"",TRIM(IFERROR(LEFT(P16,FIND("(",P16)-1),P16)),AA15)</f>
        <v/>
      </c>
      <c r="AD16" s="10" t="str">
        <f aca="false">IF(C16="","",IF(T16="","(sin responsabilidad)",T16))</f>
        <v/>
      </c>
      <c r="AE16" s="10" t="str">
        <f aca="false">IF(E16="","",IF(U16="","(sin responsabilidad)",U16))</f>
        <v/>
      </c>
      <c r="AF16" s="10" t="str">
        <f aca="false">IF(G16="","",IF(V16="","(sin responsabilidad)",V16))</f>
        <v/>
      </c>
      <c r="AG16" s="10" t="str">
        <f aca="false">IF(I16="","",IF(W16="","(sin responsabilidad)",W16))</f>
        <v/>
      </c>
      <c r="AH16" s="10" t="str">
        <f aca="false">IF(K16="","",IF(X16="","(sin responsabilidad)",X16))</f>
        <v/>
      </c>
      <c r="AI16" s="10" t="str">
        <f aca="false">IF(M16="","",IF(Y16="","(sin responsabilidad)",Y16))</f>
        <v/>
      </c>
      <c r="AJ16" s="10" t="str">
        <f aca="false">IF(O16="","",IF(Z16="","(sin responsabilidad)",Z16))</f>
        <v/>
      </c>
      <c r="AK16" s="10" t="str">
        <f aca="false">IF(Q16="","",IF(AA16="","(sin responsabilidad)",AA16))</f>
        <v/>
      </c>
      <c r="AN16" s="10" t="str">
        <f aca="false">IF(C16="","",TRIM(IFERROR(LEFT(C16,FIND("(",C16)-1),C16)))</f>
        <v/>
      </c>
      <c r="AO16" s="10" t="str">
        <f aca="false">IF(E16="","",TRIM(IFERROR(LEFT(E16,FIND("(",E16)-1),E16)))</f>
        <v/>
      </c>
      <c r="AP16" s="10" t="str">
        <f aca="false">IF(G16="","",TRIM(IFERROR(LEFT(G16,FIND("(",G16)-1),G16)))</f>
        <v/>
      </c>
      <c r="AQ16" s="10" t="str">
        <f aca="false">IF(I16="","",TRIM(IFERROR(LEFT(I16,FIND("(",I16)-1),I16)))</f>
        <v/>
      </c>
      <c r="AR16" s="10" t="str">
        <f aca="false">IF(K16="","",TRIM(IFERROR(LEFT(K16,FIND("(",K16)-1),K16)))</f>
        <v/>
      </c>
      <c r="AS16" s="10" t="str">
        <f aca="false">IF(M16="","",TRIM(IFERROR(LEFT(M16,FIND("(",M16)-1),M16)))</f>
        <v/>
      </c>
      <c r="AT16" s="10" t="str">
        <f aca="false">IF(O16="","",TRIM(IFERROR(LEFT(O16,FIND("(",O16)-1),O16)))</f>
        <v/>
      </c>
      <c r="AU16" s="10" t="str">
        <f aca="false">IF(Q16="","",TRIM(IFERROR(LEFT(Q16,FIND("(",Q16)-1),Q16)))</f>
        <v/>
      </c>
    </row>
    <row r="17" customFormat="false" ht="15" hidden="false" customHeight="false" outlineLevel="0" collapsed="false">
      <c r="A17" s="14" t="n">
        <v>3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T17" s="10" t="str">
        <f aca="false">IF(B17&lt;&gt;"",TRIM(IFERROR(LEFT(B17,FIND("(",B17)-1),B17)),T16)</f>
        <v/>
      </c>
      <c r="U17" s="10" t="str">
        <f aca="false">IF(D17&lt;&gt;"",TRIM(IFERROR(LEFT(D17,FIND("(",D17)-1),D17)),U16)</f>
        <v/>
      </c>
      <c r="V17" s="10" t="str">
        <f aca="false">IF(F17&lt;&gt;"",TRIM(IFERROR(LEFT(F17,FIND("(",F17)-1),F17)),V16)</f>
        <v/>
      </c>
      <c r="W17" s="10" t="str">
        <f aca="false">IF(H17&lt;&gt;"",TRIM(IFERROR(LEFT(H17,FIND("(",H17)-1),H17)),W16)</f>
        <v/>
      </c>
      <c r="X17" s="10" t="str">
        <f aca="false">IF(J17&lt;&gt;"",TRIM(IFERROR(LEFT(J17,FIND("(",J17)-1),J17)),X16)</f>
        <v/>
      </c>
      <c r="Y17" s="10" t="str">
        <f aca="false">IF(L17&lt;&gt;"",TRIM(IFERROR(LEFT(L17,FIND("(",L17)-1),L17)),Y16)</f>
        <v/>
      </c>
      <c r="Z17" s="10" t="str">
        <f aca="false">IF(N17&lt;&gt;"",TRIM(IFERROR(LEFT(N17,FIND("(",N17)-1),N17)),Z16)</f>
        <v/>
      </c>
      <c r="AA17" s="10" t="str">
        <f aca="false">IF(P17&lt;&gt;"",TRIM(IFERROR(LEFT(P17,FIND("(",P17)-1),P17)),AA16)</f>
        <v/>
      </c>
      <c r="AD17" s="10" t="str">
        <f aca="false">IF(C17="","",IF(T17="","(sin responsabilidad)",T17))</f>
        <v/>
      </c>
      <c r="AE17" s="10" t="str">
        <f aca="false">IF(E17="","",IF(U17="","(sin responsabilidad)",U17))</f>
        <v/>
      </c>
      <c r="AF17" s="10" t="str">
        <f aca="false">IF(G17="","",IF(V17="","(sin responsabilidad)",V17))</f>
        <v/>
      </c>
      <c r="AG17" s="10" t="str">
        <f aca="false">IF(I17="","",IF(W17="","(sin responsabilidad)",W17))</f>
        <v/>
      </c>
      <c r="AH17" s="10" t="str">
        <f aca="false">IF(K17="","",IF(X17="","(sin responsabilidad)",X17))</f>
        <v/>
      </c>
      <c r="AI17" s="10" t="str">
        <f aca="false">IF(M17="","",IF(Y17="","(sin responsabilidad)",Y17))</f>
        <v/>
      </c>
      <c r="AJ17" s="10" t="str">
        <f aca="false">IF(O17="","",IF(Z17="","(sin responsabilidad)",Z17))</f>
        <v/>
      </c>
      <c r="AK17" s="10" t="str">
        <f aca="false">IF(Q17="","",IF(AA17="","(sin responsabilidad)",AA17))</f>
        <v/>
      </c>
      <c r="AN17" s="10" t="str">
        <f aca="false">IF(C17="","",TRIM(IFERROR(LEFT(C17,FIND("(",C17)-1),C17)))</f>
        <v/>
      </c>
      <c r="AO17" s="10" t="str">
        <f aca="false">IF(E17="","",TRIM(IFERROR(LEFT(E17,FIND("(",E17)-1),E17)))</f>
        <v/>
      </c>
      <c r="AP17" s="10" t="str">
        <f aca="false">IF(G17="","",TRIM(IFERROR(LEFT(G17,FIND("(",G17)-1),G17)))</f>
        <v/>
      </c>
      <c r="AQ17" s="10" t="str">
        <f aca="false">IF(I17="","",TRIM(IFERROR(LEFT(I17,FIND("(",I17)-1),I17)))</f>
        <v/>
      </c>
      <c r="AR17" s="10" t="str">
        <f aca="false">IF(K17="","",TRIM(IFERROR(LEFT(K17,FIND("(",K17)-1),K17)))</f>
        <v/>
      </c>
      <c r="AS17" s="10" t="str">
        <f aca="false">IF(M17="","",TRIM(IFERROR(LEFT(M17,FIND("(",M17)-1),M17)))</f>
        <v/>
      </c>
      <c r="AT17" s="10" t="str">
        <f aca="false">IF(O17="","",TRIM(IFERROR(LEFT(O17,FIND("(",O17)-1),O17)))</f>
        <v/>
      </c>
      <c r="AU17" s="10" t="str">
        <f aca="false">IF(Q17="","",TRIM(IFERROR(LEFT(Q17,FIND("(",Q17)-1),Q17)))</f>
        <v/>
      </c>
    </row>
    <row r="18" customFormat="false" ht="15" hidden="false" customHeight="false" outlineLevel="0" collapsed="false">
      <c r="A18" s="14" t="n">
        <v>4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T18" s="10" t="str">
        <f aca="false">IF(B18&lt;&gt;"",TRIM(IFERROR(LEFT(B18,FIND("(",B18)-1),B18)),T17)</f>
        <v/>
      </c>
      <c r="U18" s="10" t="str">
        <f aca="false">IF(D18&lt;&gt;"",TRIM(IFERROR(LEFT(D18,FIND("(",D18)-1),D18)),U17)</f>
        <v/>
      </c>
      <c r="V18" s="10" t="str">
        <f aca="false">IF(F18&lt;&gt;"",TRIM(IFERROR(LEFT(F18,FIND("(",F18)-1),F18)),V17)</f>
        <v/>
      </c>
      <c r="W18" s="10" t="str">
        <f aca="false">IF(H18&lt;&gt;"",TRIM(IFERROR(LEFT(H18,FIND("(",H18)-1),H18)),W17)</f>
        <v/>
      </c>
      <c r="X18" s="10" t="str">
        <f aca="false">IF(J18&lt;&gt;"",TRIM(IFERROR(LEFT(J18,FIND("(",J18)-1),J18)),X17)</f>
        <v/>
      </c>
      <c r="Y18" s="10" t="str">
        <f aca="false">IF(L18&lt;&gt;"",TRIM(IFERROR(LEFT(L18,FIND("(",L18)-1),L18)),Y17)</f>
        <v/>
      </c>
      <c r="Z18" s="10" t="str">
        <f aca="false">IF(N18&lt;&gt;"",TRIM(IFERROR(LEFT(N18,FIND("(",N18)-1),N18)),Z17)</f>
        <v/>
      </c>
      <c r="AA18" s="10" t="str">
        <f aca="false">IF(P18&lt;&gt;"",TRIM(IFERROR(LEFT(P18,FIND("(",P18)-1),P18)),AA17)</f>
        <v/>
      </c>
      <c r="AD18" s="10" t="str">
        <f aca="false">IF(C18="","",IF(T18="","(sin responsabilidad)",T18))</f>
        <v/>
      </c>
      <c r="AE18" s="10" t="str">
        <f aca="false">IF(E18="","",IF(U18="","(sin responsabilidad)",U18))</f>
        <v/>
      </c>
      <c r="AF18" s="10" t="str">
        <f aca="false">IF(G18="","",IF(V18="","(sin responsabilidad)",V18))</f>
        <v/>
      </c>
      <c r="AG18" s="10" t="str">
        <f aca="false">IF(I18="","",IF(W18="","(sin responsabilidad)",W18))</f>
        <v/>
      </c>
      <c r="AH18" s="10" t="str">
        <f aca="false">IF(K18="","",IF(X18="","(sin responsabilidad)",X18))</f>
        <v/>
      </c>
      <c r="AI18" s="10" t="str">
        <f aca="false">IF(M18="","",IF(Y18="","(sin responsabilidad)",Y18))</f>
        <v/>
      </c>
      <c r="AJ18" s="10" t="str">
        <f aca="false">IF(O18="","",IF(Z18="","(sin responsabilidad)",Z18))</f>
        <v/>
      </c>
      <c r="AK18" s="10" t="str">
        <f aca="false">IF(Q18="","",IF(AA18="","(sin responsabilidad)",AA18))</f>
        <v/>
      </c>
      <c r="AN18" s="10" t="str">
        <f aca="false">IF(C18="","",TRIM(IFERROR(LEFT(C18,FIND("(",C18)-1),C18)))</f>
        <v/>
      </c>
      <c r="AO18" s="10" t="str">
        <f aca="false">IF(E18="","",TRIM(IFERROR(LEFT(E18,FIND("(",E18)-1),E18)))</f>
        <v/>
      </c>
      <c r="AP18" s="10" t="str">
        <f aca="false">IF(G18="","",TRIM(IFERROR(LEFT(G18,FIND("(",G18)-1),G18)))</f>
        <v/>
      </c>
      <c r="AQ18" s="10" t="str">
        <f aca="false">IF(I18="","",TRIM(IFERROR(LEFT(I18,FIND("(",I18)-1),I18)))</f>
        <v/>
      </c>
      <c r="AR18" s="10" t="str">
        <f aca="false">IF(K18="","",TRIM(IFERROR(LEFT(K18,FIND("(",K18)-1),K18)))</f>
        <v/>
      </c>
      <c r="AS18" s="10" t="str">
        <f aca="false">IF(M18="","",TRIM(IFERROR(LEFT(M18,FIND("(",M18)-1),M18)))</f>
        <v/>
      </c>
      <c r="AT18" s="10" t="str">
        <f aca="false">IF(O18="","",TRIM(IFERROR(LEFT(O18,FIND("(",O18)-1),O18)))</f>
        <v/>
      </c>
      <c r="AU18" s="10" t="str">
        <f aca="false">IF(Q18="","",TRIM(IFERROR(LEFT(Q18,FIND("(",Q18)-1),Q18)))</f>
        <v/>
      </c>
    </row>
    <row r="19" customFormat="false" ht="15" hidden="false" customHeight="false" outlineLevel="0" collapsed="false">
      <c r="A19" s="14" t="n">
        <v>5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T19" s="10" t="str">
        <f aca="false">IF(B19&lt;&gt;"",TRIM(IFERROR(LEFT(B19,FIND("(",B19)-1),B19)),T18)</f>
        <v/>
      </c>
      <c r="U19" s="10" t="str">
        <f aca="false">IF(D19&lt;&gt;"",TRIM(IFERROR(LEFT(D19,FIND("(",D19)-1),D19)),U18)</f>
        <v/>
      </c>
      <c r="V19" s="10" t="str">
        <f aca="false">IF(F19&lt;&gt;"",TRIM(IFERROR(LEFT(F19,FIND("(",F19)-1),F19)),V18)</f>
        <v/>
      </c>
      <c r="W19" s="10" t="str">
        <f aca="false">IF(H19&lt;&gt;"",TRIM(IFERROR(LEFT(H19,FIND("(",H19)-1),H19)),W18)</f>
        <v/>
      </c>
      <c r="X19" s="10" t="str">
        <f aca="false">IF(J19&lt;&gt;"",TRIM(IFERROR(LEFT(J19,FIND("(",J19)-1),J19)),X18)</f>
        <v/>
      </c>
      <c r="Y19" s="10" t="str">
        <f aca="false">IF(L19&lt;&gt;"",TRIM(IFERROR(LEFT(L19,FIND("(",L19)-1),L19)),Y18)</f>
        <v/>
      </c>
      <c r="Z19" s="10" t="str">
        <f aca="false">IF(N19&lt;&gt;"",TRIM(IFERROR(LEFT(N19,FIND("(",N19)-1),N19)),Z18)</f>
        <v/>
      </c>
      <c r="AA19" s="10" t="str">
        <f aca="false">IF(P19&lt;&gt;"",TRIM(IFERROR(LEFT(P19,FIND("(",P19)-1),P19)),AA18)</f>
        <v/>
      </c>
      <c r="AD19" s="10" t="str">
        <f aca="false">IF(C19="","",IF(T19="","(sin responsabilidad)",T19))</f>
        <v/>
      </c>
      <c r="AE19" s="10" t="str">
        <f aca="false">IF(E19="","",IF(U19="","(sin responsabilidad)",U19))</f>
        <v/>
      </c>
      <c r="AF19" s="10" t="str">
        <f aca="false">IF(G19="","",IF(V19="","(sin responsabilidad)",V19))</f>
        <v/>
      </c>
      <c r="AG19" s="10" t="str">
        <f aca="false">IF(I19="","",IF(W19="","(sin responsabilidad)",W19))</f>
        <v/>
      </c>
      <c r="AH19" s="10" t="str">
        <f aca="false">IF(K19="","",IF(X19="","(sin responsabilidad)",X19))</f>
        <v/>
      </c>
      <c r="AI19" s="10" t="str">
        <f aca="false">IF(M19="","",IF(Y19="","(sin responsabilidad)",Y19))</f>
        <v/>
      </c>
      <c r="AJ19" s="10" t="str">
        <f aca="false">IF(O19="","",IF(Z19="","(sin responsabilidad)",Z19))</f>
        <v/>
      </c>
      <c r="AK19" s="10" t="str">
        <f aca="false">IF(Q19="","",IF(AA19="","(sin responsabilidad)",AA19))</f>
        <v/>
      </c>
      <c r="AN19" s="10" t="str">
        <f aca="false">IF(C19="","",TRIM(IFERROR(LEFT(C19,FIND("(",C19)-1),C19)))</f>
        <v/>
      </c>
      <c r="AO19" s="10" t="str">
        <f aca="false">IF(E19="","",TRIM(IFERROR(LEFT(E19,FIND("(",E19)-1),E19)))</f>
        <v/>
      </c>
      <c r="AP19" s="10" t="str">
        <f aca="false">IF(G19="","",TRIM(IFERROR(LEFT(G19,FIND("(",G19)-1),G19)))</f>
        <v/>
      </c>
      <c r="AQ19" s="10" t="str">
        <f aca="false">IF(I19="","",TRIM(IFERROR(LEFT(I19,FIND("(",I19)-1),I19)))</f>
        <v/>
      </c>
      <c r="AR19" s="10" t="str">
        <f aca="false">IF(K19="","",TRIM(IFERROR(LEFT(K19,FIND("(",K19)-1),K19)))</f>
        <v/>
      </c>
      <c r="AS19" s="10" t="str">
        <f aca="false">IF(M19="","",TRIM(IFERROR(LEFT(M19,FIND("(",M19)-1),M19)))</f>
        <v/>
      </c>
      <c r="AT19" s="10" t="str">
        <f aca="false">IF(O19="","",TRIM(IFERROR(LEFT(O19,FIND("(",O19)-1),O19)))</f>
        <v/>
      </c>
      <c r="AU19" s="10" t="str">
        <f aca="false">IF(Q19="","",TRIM(IFERROR(LEFT(Q19,FIND("(",Q19)-1),Q19)))</f>
        <v/>
      </c>
    </row>
    <row r="20" customFormat="false" ht="15" hidden="false" customHeight="false" outlineLevel="0" collapsed="false">
      <c r="A20" s="14" t="n">
        <v>6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T20" s="10" t="str">
        <f aca="false">IF(B20&lt;&gt;"",TRIM(IFERROR(LEFT(B20,FIND("(",B20)-1),B20)),T19)</f>
        <v/>
      </c>
      <c r="U20" s="10" t="str">
        <f aca="false">IF(D20&lt;&gt;"",TRIM(IFERROR(LEFT(D20,FIND("(",D20)-1),D20)),U19)</f>
        <v/>
      </c>
      <c r="V20" s="10" t="str">
        <f aca="false">IF(F20&lt;&gt;"",TRIM(IFERROR(LEFT(F20,FIND("(",F20)-1),F20)),V19)</f>
        <v/>
      </c>
      <c r="W20" s="10" t="str">
        <f aca="false">IF(H20&lt;&gt;"",TRIM(IFERROR(LEFT(H20,FIND("(",H20)-1),H20)),W19)</f>
        <v/>
      </c>
      <c r="X20" s="10" t="str">
        <f aca="false">IF(J20&lt;&gt;"",TRIM(IFERROR(LEFT(J20,FIND("(",J20)-1),J20)),X19)</f>
        <v/>
      </c>
      <c r="Y20" s="10" t="str">
        <f aca="false">IF(L20&lt;&gt;"",TRIM(IFERROR(LEFT(L20,FIND("(",L20)-1),L20)),Y19)</f>
        <v/>
      </c>
      <c r="Z20" s="10" t="str">
        <f aca="false">IF(N20&lt;&gt;"",TRIM(IFERROR(LEFT(N20,FIND("(",N20)-1),N20)),Z19)</f>
        <v/>
      </c>
      <c r="AA20" s="10" t="str">
        <f aca="false">IF(P20&lt;&gt;"",TRIM(IFERROR(LEFT(P20,FIND("(",P20)-1),P20)),AA19)</f>
        <v/>
      </c>
      <c r="AD20" s="10" t="str">
        <f aca="false">IF(C20="","",IF(T20="","(sin responsabilidad)",T20))</f>
        <v/>
      </c>
      <c r="AE20" s="10" t="str">
        <f aca="false">IF(E20="","",IF(U20="","(sin responsabilidad)",U20))</f>
        <v/>
      </c>
      <c r="AF20" s="10" t="str">
        <f aca="false">IF(G20="","",IF(V20="","(sin responsabilidad)",V20))</f>
        <v/>
      </c>
      <c r="AG20" s="10" t="str">
        <f aca="false">IF(I20="","",IF(W20="","(sin responsabilidad)",W20))</f>
        <v/>
      </c>
      <c r="AH20" s="10" t="str">
        <f aca="false">IF(K20="","",IF(X20="","(sin responsabilidad)",X20))</f>
        <v/>
      </c>
      <c r="AI20" s="10" t="str">
        <f aca="false">IF(M20="","",IF(Y20="","(sin responsabilidad)",Y20))</f>
        <v/>
      </c>
      <c r="AJ20" s="10" t="str">
        <f aca="false">IF(O20="","",IF(Z20="","(sin responsabilidad)",Z20))</f>
        <v/>
      </c>
      <c r="AK20" s="10" t="str">
        <f aca="false">IF(Q20="","",IF(AA20="","(sin responsabilidad)",AA20))</f>
        <v/>
      </c>
      <c r="AN20" s="10" t="str">
        <f aca="false">IF(C20="","",TRIM(IFERROR(LEFT(C20,FIND("(",C20)-1),C20)))</f>
        <v/>
      </c>
      <c r="AO20" s="10" t="str">
        <f aca="false">IF(E20="","",TRIM(IFERROR(LEFT(E20,FIND("(",E20)-1),E20)))</f>
        <v/>
      </c>
      <c r="AP20" s="10" t="str">
        <f aca="false">IF(G20="","",TRIM(IFERROR(LEFT(G20,FIND("(",G20)-1),G20)))</f>
        <v/>
      </c>
      <c r="AQ20" s="10" t="str">
        <f aca="false">IF(I20="","",TRIM(IFERROR(LEFT(I20,FIND("(",I20)-1),I20)))</f>
        <v/>
      </c>
      <c r="AR20" s="10" t="str">
        <f aca="false">IF(K20="","",TRIM(IFERROR(LEFT(K20,FIND("(",K20)-1),K20)))</f>
        <v/>
      </c>
      <c r="AS20" s="10" t="str">
        <f aca="false">IF(M20="","",TRIM(IFERROR(LEFT(M20,FIND("(",M20)-1),M20)))</f>
        <v/>
      </c>
      <c r="AT20" s="10" t="str">
        <f aca="false">IF(O20="","",TRIM(IFERROR(LEFT(O20,FIND("(",O20)-1),O20)))</f>
        <v/>
      </c>
      <c r="AU20" s="10" t="str">
        <f aca="false">IF(Q20="","",TRIM(IFERROR(LEFT(Q20,FIND("(",Q20)-1),Q20)))</f>
        <v/>
      </c>
    </row>
    <row r="21" customFormat="false" ht="15" hidden="false" customHeight="false" outlineLevel="0" collapsed="false">
      <c r="A21" s="14" t="n">
        <v>7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T21" s="10" t="str">
        <f aca="false">IF(B21&lt;&gt;"",TRIM(IFERROR(LEFT(B21,FIND("(",B21)-1),B21)),T20)</f>
        <v/>
      </c>
      <c r="U21" s="10" t="str">
        <f aca="false">IF(D21&lt;&gt;"",TRIM(IFERROR(LEFT(D21,FIND("(",D21)-1),D21)),U20)</f>
        <v/>
      </c>
      <c r="V21" s="10" t="str">
        <f aca="false">IF(F21&lt;&gt;"",TRIM(IFERROR(LEFT(F21,FIND("(",F21)-1),F21)),V20)</f>
        <v/>
      </c>
      <c r="W21" s="10" t="str">
        <f aca="false">IF(H21&lt;&gt;"",TRIM(IFERROR(LEFT(H21,FIND("(",H21)-1),H21)),W20)</f>
        <v/>
      </c>
      <c r="X21" s="10" t="str">
        <f aca="false">IF(J21&lt;&gt;"",TRIM(IFERROR(LEFT(J21,FIND("(",J21)-1),J21)),X20)</f>
        <v/>
      </c>
      <c r="Y21" s="10" t="str">
        <f aca="false">IF(L21&lt;&gt;"",TRIM(IFERROR(LEFT(L21,FIND("(",L21)-1),L21)),Y20)</f>
        <v/>
      </c>
      <c r="Z21" s="10" t="str">
        <f aca="false">IF(N21&lt;&gt;"",TRIM(IFERROR(LEFT(N21,FIND("(",N21)-1),N21)),Z20)</f>
        <v/>
      </c>
      <c r="AA21" s="10" t="str">
        <f aca="false">IF(P21&lt;&gt;"",TRIM(IFERROR(LEFT(P21,FIND("(",P21)-1),P21)),AA20)</f>
        <v/>
      </c>
      <c r="AD21" s="10" t="str">
        <f aca="false">IF(C21="","",IF(T21="","(sin responsabilidad)",T21))</f>
        <v/>
      </c>
      <c r="AE21" s="10" t="str">
        <f aca="false">IF(E21="","",IF(U21="","(sin responsabilidad)",U21))</f>
        <v/>
      </c>
      <c r="AF21" s="10" t="str">
        <f aca="false">IF(G21="","",IF(V21="","(sin responsabilidad)",V21))</f>
        <v/>
      </c>
      <c r="AG21" s="10" t="str">
        <f aca="false">IF(I21="","",IF(W21="","(sin responsabilidad)",W21))</f>
        <v/>
      </c>
      <c r="AH21" s="10" t="str">
        <f aca="false">IF(K21="","",IF(X21="","(sin responsabilidad)",X21))</f>
        <v/>
      </c>
      <c r="AI21" s="10" t="str">
        <f aca="false">IF(M21="","",IF(Y21="","(sin responsabilidad)",Y21))</f>
        <v/>
      </c>
      <c r="AJ21" s="10" t="str">
        <f aca="false">IF(O21="","",IF(Z21="","(sin responsabilidad)",Z21))</f>
        <v/>
      </c>
      <c r="AK21" s="10" t="str">
        <f aca="false">IF(Q21="","",IF(AA21="","(sin responsabilidad)",AA21))</f>
        <v/>
      </c>
      <c r="AN21" s="10" t="str">
        <f aca="false">IF(C21="","",TRIM(IFERROR(LEFT(C21,FIND("(",C21)-1),C21)))</f>
        <v/>
      </c>
      <c r="AO21" s="10" t="str">
        <f aca="false">IF(E21="","",TRIM(IFERROR(LEFT(E21,FIND("(",E21)-1),E21)))</f>
        <v/>
      </c>
      <c r="AP21" s="10" t="str">
        <f aca="false">IF(G21="","",TRIM(IFERROR(LEFT(G21,FIND("(",G21)-1),G21)))</f>
        <v/>
      </c>
      <c r="AQ21" s="10" t="str">
        <f aca="false">IF(I21="","",TRIM(IFERROR(LEFT(I21,FIND("(",I21)-1),I21)))</f>
        <v/>
      </c>
      <c r="AR21" s="10" t="str">
        <f aca="false">IF(K21="","",TRIM(IFERROR(LEFT(K21,FIND("(",K21)-1),K21)))</f>
        <v/>
      </c>
      <c r="AS21" s="10" t="str">
        <f aca="false">IF(M21="","",TRIM(IFERROR(LEFT(M21,FIND("(",M21)-1),M21)))</f>
        <v/>
      </c>
      <c r="AT21" s="10" t="str">
        <f aca="false">IF(O21="","",TRIM(IFERROR(LEFT(O21,FIND("(",O21)-1),O21)))</f>
        <v/>
      </c>
      <c r="AU21" s="10" t="str">
        <f aca="false">IF(Q21="","",TRIM(IFERROR(LEFT(Q21,FIND("(",Q21)-1),Q21)))</f>
        <v/>
      </c>
    </row>
    <row r="22" customFormat="false" ht="15" hidden="false" customHeight="false" outlineLevel="0" collapsed="false">
      <c r="A22" s="14" t="n">
        <v>8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T22" s="10" t="str">
        <f aca="false">IF(B22&lt;&gt;"",TRIM(IFERROR(LEFT(B22,FIND("(",B22)-1),B22)),T21)</f>
        <v/>
      </c>
      <c r="U22" s="10" t="str">
        <f aca="false">IF(D22&lt;&gt;"",TRIM(IFERROR(LEFT(D22,FIND("(",D22)-1),D22)),U21)</f>
        <v/>
      </c>
      <c r="V22" s="10" t="str">
        <f aca="false">IF(F22&lt;&gt;"",TRIM(IFERROR(LEFT(F22,FIND("(",F22)-1),F22)),V21)</f>
        <v/>
      </c>
      <c r="W22" s="10" t="str">
        <f aca="false">IF(H22&lt;&gt;"",TRIM(IFERROR(LEFT(H22,FIND("(",H22)-1),H22)),W21)</f>
        <v/>
      </c>
      <c r="X22" s="10" t="str">
        <f aca="false">IF(J22&lt;&gt;"",TRIM(IFERROR(LEFT(J22,FIND("(",J22)-1),J22)),X21)</f>
        <v/>
      </c>
      <c r="Y22" s="10" t="str">
        <f aca="false">IF(L22&lt;&gt;"",TRIM(IFERROR(LEFT(L22,FIND("(",L22)-1),L22)),Y21)</f>
        <v/>
      </c>
      <c r="Z22" s="10" t="str">
        <f aca="false">IF(N22&lt;&gt;"",TRIM(IFERROR(LEFT(N22,FIND("(",N22)-1),N22)),Z21)</f>
        <v/>
      </c>
      <c r="AA22" s="10" t="str">
        <f aca="false">IF(P22&lt;&gt;"",TRIM(IFERROR(LEFT(P22,FIND("(",P22)-1),P22)),AA21)</f>
        <v/>
      </c>
      <c r="AD22" s="10" t="str">
        <f aca="false">IF(C22="","",IF(T22="","(sin responsabilidad)",T22))</f>
        <v/>
      </c>
      <c r="AE22" s="10" t="str">
        <f aca="false">IF(E22="","",IF(U22="","(sin responsabilidad)",U22))</f>
        <v/>
      </c>
      <c r="AF22" s="10" t="str">
        <f aca="false">IF(G22="","",IF(V22="","(sin responsabilidad)",V22))</f>
        <v/>
      </c>
      <c r="AG22" s="10" t="str">
        <f aca="false">IF(I22="","",IF(W22="","(sin responsabilidad)",W22))</f>
        <v/>
      </c>
      <c r="AH22" s="10" t="str">
        <f aca="false">IF(K22="","",IF(X22="","(sin responsabilidad)",X22))</f>
        <v/>
      </c>
      <c r="AI22" s="10" t="str">
        <f aca="false">IF(M22="","",IF(Y22="","(sin responsabilidad)",Y22))</f>
        <v/>
      </c>
      <c r="AJ22" s="10" t="str">
        <f aca="false">IF(O22="","",IF(Z22="","(sin responsabilidad)",Z22))</f>
        <v/>
      </c>
      <c r="AK22" s="10" t="str">
        <f aca="false">IF(Q22="","",IF(AA22="","(sin responsabilidad)",AA22))</f>
        <v/>
      </c>
      <c r="AN22" s="10" t="str">
        <f aca="false">IF(C22="","",TRIM(IFERROR(LEFT(C22,FIND("(",C22)-1),C22)))</f>
        <v/>
      </c>
      <c r="AO22" s="10" t="str">
        <f aca="false">IF(E22="","",TRIM(IFERROR(LEFT(E22,FIND("(",E22)-1),E22)))</f>
        <v/>
      </c>
      <c r="AP22" s="10" t="str">
        <f aca="false">IF(G22="","",TRIM(IFERROR(LEFT(G22,FIND("(",G22)-1),G22)))</f>
        <v/>
      </c>
      <c r="AQ22" s="10" t="str">
        <f aca="false">IF(I22="","",TRIM(IFERROR(LEFT(I22,FIND("(",I22)-1),I22)))</f>
        <v/>
      </c>
      <c r="AR22" s="10" t="str">
        <f aca="false">IF(K22="","",TRIM(IFERROR(LEFT(K22,FIND("(",K22)-1),K22)))</f>
        <v/>
      </c>
      <c r="AS22" s="10" t="str">
        <f aca="false">IF(M22="","",TRIM(IFERROR(LEFT(M22,FIND("(",M22)-1),M22)))</f>
        <v/>
      </c>
      <c r="AT22" s="10" t="str">
        <f aca="false">IF(O22="","",TRIM(IFERROR(LEFT(O22,FIND("(",O22)-1),O22)))</f>
        <v/>
      </c>
      <c r="AU22" s="10" t="str">
        <f aca="false">IF(Q22="","",TRIM(IFERROR(LEFT(Q22,FIND("(",Q22)-1),Q22)))</f>
        <v/>
      </c>
    </row>
    <row r="23" customFormat="false" ht="15" hidden="false" customHeight="false" outlineLevel="0" collapsed="false">
      <c r="A23" s="14" t="n">
        <v>9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T23" s="10" t="str">
        <f aca="false">IF(B23&lt;&gt;"",TRIM(IFERROR(LEFT(B23,FIND("(",B23)-1),B23)),T22)</f>
        <v/>
      </c>
      <c r="U23" s="10" t="str">
        <f aca="false">IF(D23&lt;&gt;"",TRIM(IFERROR(LEFT(D23,FIND("(",D23)-1),D23)),U22)</f>
        <v/>
      </c>
      <c r="V23" s="10" t="str">
        <f aca="false">IF(F23&lt;&gt;"",TRIM(IFERROR(LEFT(F23,FIND("(",F23)-1),F23)),V22)</f>
        <v/>
      </c>
      <c r="W23" s="10" t="str">
        <f aca="false">IF(H23&lt;&gt;"",TRIM(IFERROR(LEFT(H23,FIND("(",H23)-1),H23)),W22)</f>
        <v/>
      </c>
      <c r="X23" s="10" t="str">
        <f aca="false">IF(J23&lt;&gt;"",TRIM(IFERROR(LEFT(J23,FIND("(",J23)-1),J23)),X22)</f>
        <v/>
      </c>
      <c r="Y23" s="10" t="str">
        <f aca="false">IF(L23&lt;&gt;"",TRIM(IFERROR(LEFT(L23,FIND("(",L23)-1),L23)),Y22)</f>
        <v/>
      </c>
      <c r="Z23" s="10" t="str">
        <f aca="false">IF(N23&lt;&gt;"",TRIM(IFERROR(LEFT(N23,FIND("(",N23)-1),N23)),Z22)</f>
        <v/>
      </c>
      <c r="AA23" s="10" t="str">
        <f aca="false">IF(P23&lt;&gt;"",TRIM(IFERROR(LEFT(P23,FIND("(",P23)-1),P23)),AA22)</f>
        <v/>
      </c>
      <c r="AD23" s="10" t="str">
        <f aca="false">IF(C23="","",IF(T23="","(sin responsabilidad)",T23))</f>
        <v/>
      </c>
      <c r="AE23" s="10" t="str">
        <f aca="false">IF(E23="","",IF(U23="","(sin responsabilidad)",U23))</f>
        <v/>
      </c>
      <c r="AF23" s="10" t="str">
        <f aca="false">IF(G23="","",IF(V23="","(sin responsabilidad)",V23))</f>
        <v/>
      </c>
      <c r="AG23" s="10" t="str">
        <f aca="false">IF(I23="","",IF(W23="","(sin responsabilidad)",W23))</f>
        <v/>
      </c>
      <c r="AH23" s="10" t="str">
        <f aca="false">IF(K23="","",IF(X23="","(sin responsabilidad)",X23))</f>
        <v/>
      </c>
      <c r="AI23" s="10" t="str">
        <f aca="false">IF(M23="","",IF(Y23="","(sin responsabilidad)",Y23))</f>
        <v/>
      </c>
      <c r="AJ23" s="10" t="str">
        <f aca="false">IF(O23="","",IF(Z23="","(sin responsabilidad)",Z23))</f>
        <v/>
      </c>
      <c r="AK23" s="10" t="str">
        <f aca="false">IF(Q23="","",IF(AA23="","(sin responsabilidad)",AA23))</f>
        <v/>
      </c>
      <c r="AN23" s="10" t="str">
        <f aca="false">IF(C23="","",TRIM(IFERROR(LEFT(C23,FIND("(",C23)-1),C23)))</f>
        <v/>
      </c>
      <c r="AO23" s="10" t="str">
        <f aca="false">IF(E23="","",TRIM(IFERROR(LEFT(E23,FIND("(",E23)-1),E23)))</f>
        <v/>
      </c>
      <c r="AP23" s="10" t="str">
        <f aca="false">IF(G23="","",TRIM(IFERROR(LEFT(G23,FIND("(",G23)-1),G23)))</f>
        <v/>
      </c>
      <c r="AQ23" s="10" t="str">
        <f aca="false">IF(I23="","",TRIM(IFERROR(LEFT(I23,FIND("(",I23)-1),I23)))</f>
        <v/>
      </c>
      <c r="AR23" s="10" t="str">
        <f aca="false">IF(K23="","",TRIM(IFERROR(LEFT(K23,FIND("(",K23)-1),K23)))</f>
        <v/>
      </c>
      <c r="AS23" s="10" t="str">
        <f aca="false">IF(M23="","",TRIM(IFERROR(LEFT(M23,FIND("(",M23)-1),M23)))</f>
        <v/>
      </c>
      <c r="AT23" s="10" t="str">
        <f aca="false">IF(O23="","",TRIM(IFERROR(LEFT(O23,FIND("(",O23)-1),O23)))</f>
        <v/>
      </c>
      <c r="AU23" s="10" t="str">
        <f aca="false">IF(Q23="","",TRIM(IFERROR(LEFT(Q23,FIND("(",Q23)-1),Q23)))</f>
        <v/>
      </c>
    </row>
    <row r="24" customFormat="false" ht="15" hidden="false" customHeight="false" outlineLevel="0" collapsed="false">
      <c r="A24" s="14" t="n">
        <v>10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T24" s="10" t="str">
        <f aca="false">IF(B24&lt;&gt;"",TRIM(IFERROR(LEFT(B24,FIND("(",B24)-1),B24)),T23)</f>
        <v/>
      </c>
      <c r="U24" s="10" t="str">
        <f aca="false">IF(D24&lt;&gt;"",TRIM(IFERROR(LEFT(D24,FIND("(",D24)-1),D24)),U23)</f>
        <v/>
      </c>
      <c r="V24" s="10" t="str">
        <f aca="false">IF(F24&lt;&gt;"",TRIM(IFERROR(LEFT(F24,FIND("(",F24)-1),F24)),V23)</f>
        <v/>
      </c>
      <c r="W24" s="10" t="str">
        <f aca="false">IF(H24&lt;&gt;"",TRIM(IFERROR(LEFT(H24,FIND("(",H24)-1),H24)),W23)</f>
        <v/>
      </c>
      <c r="X24" s="10" t="str">
        <f aca="false">IF(J24&lt;&gt;"",TRIM(IFERROR(LEFT(J24,FIND("(",J24)-1),J24)),X23)</f>
        <v/>
      </c>
      <c r="Y24" s="10" t="str">
        <f aca="false">IF(L24&lt;&gt;"",TRIM(IFERROR(LEFT(L24,FIND("(",L24)-1),L24)),Y23)</f>
        <v/>
      </c>
      <c r="Z24" s="10" t="str">
        <f aca="false">IF(N24&lt;&gt;"",TRIM(IFERROR(LEFT(N24,FIND("(",N24)-1),N24)),Z23)</f>
        <v/>
      </c>
      <c r="AA24" s="10" t="str">
        <f aca="false">IF(P24&lt;&gt;"",TRIM(IFERROR(LEFT(P24,FIND("(",P24)-1),P24)),AA23)</f>
        <v/>
      </c>
      <c r="AD24" s="10" t="str">
        <f aca="false">IF(C24="","",IF(T24="","(sin responsabilidad)",T24))</f>
        <v/>
      </c>
      <c r="AE24" s="10" t="str">
        <f aca="false">IF(E24="","",IF(U24="","(sin responsabilidad)",U24))</f>
        <v/>
      </c>
      <c r="AF24" s="10" t="str">
        <f aca="false">IF(G24="","",IF(V24="","(sin responsabilidad)",V24))</f>
        <v/>
      </c>
      <c r="AG24" s="10" t="str">
        <f aca="false">IF(I24="","",IF(W24="","(sin responsabilidad)",W24))</f>
        <v/>
      </c>
      <c r="AH24" s="10" t="str">
        <f aca="false">IF(K24="","",IF(X24="","(sin responsabilidad)",X24))</f>
        <v/>
      </c>
      <c r="AI24" s="10" t="str">
        <f aca="false">IF(M24="","",IF(Y24="","(sin responsabilidad)",Y24))</f>
        <v/>
      </c>
      <c r="AJ24" s="10" t="str">
        <f aca="false">IF(O24="","",IF(Z24="","(sin responsabilidad)",Z24))</f>
        <v/>
      </c>
      <c r="AK24" s="10" t="str">
        <f aca="false">IF(Q24="","",IF(AA24="","(sin responsabilidad)",AA24))</f>
        <v/>
      </c>
      <c r="AN24" s="10" t="str">
        <f aca="false">IF(C24="","",TRIM(IFERROR(LEFT(C24,FIND("(",C24)-1),C24)))</f>
        <v/>
      </c>
      <c r="AO24" s="10" t="str">
        <f aca="false">IF(E24="","",TRIM(IFERROR(LEFT(E24,FIND("(",E24)-1),E24)))</f>
        <v/>
      </c>
      <c r="AP24" s="10" t="str">
        <f aca="false">IF(G24="","",TRIM(IFERROR(LEFT(G24,FIND("(",G24)-1),G24)))</f>
        <v/>
      </c>
      <c r="AQ24" s="10" t="str">
        <f aca="false">IF(I24="","",TRIM(IFERROR(LEFT(I24,FIND("(",I24)-1),I24)))</f>
        <v/>
      </c>
      <c r="AR24" s="10" t="str">
        <f aca="false">IF(K24="","",TRIM(IFERROR(LEFT(K24,FIND("(",K24)-1),K24)))</f>
        <v/>
      </c>
      <c r="AS24" s="10" t="str">
        <f aca="false">IF(M24="","",TRIM(IFERROR(LEFT(M24,FIND("(",M24)-1),M24)))</f>
        <v/>
      </c>
      <c r="AT24" s="10" t="str">
        <f aca="false">IF(O24="","",TRIM(IFERROR(LEFT(O24,FIND("(",O24)-1),O24)))</f>
        <v/>
      </c>
      <c r="AU24" s="10" t="str">
        <f aca="false">IF(Q24="","",TRIM(IFERROR(LEFT(Q24,FIND("(",Q24)-1),Q24)))</f>
        <v/>
      </c>
    </row>
    <row r="25" customFormat="false" ht="15" hidden="false" customHeight="false" outlineLevel="0" collapsed="false">
      <c r="A25" s="14" t="n">
        <v>11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T25" s="10" t="str">
        <f aca="false">IF(B25&lt;&gt;"",TRIM(IFERROR(LEFT(B25,FIND("(",B25)-1),B25)),T24)</f>
        <v/>
      </c>
      <c r="U25" s="10" t="str">
        <f aca="false">IF(D25&lt;&gt;"",TRIM(IFERROR(LEFT(D25,FIND("(",D25)-1),D25)),U24)</f>
        <v/>
      </c>
      <c r="V25" s="10" t="str">
        <f aca="false">IF(F25&lt;&gt;"",TRIM(IFERROR(LEFT(F25,FIND("(",F25)-1),F25)),V24)</f>
        <v/>
      </c>
      <c r="W25" s="10" t="str">
        <f aca="false">IF(H25&lt;&gt;"",TRIM(IFERROR(LEFT(H25,FIND("(",H25)-1),H25)),W24)</f>
        <v/>
      </c>
      <c r="X25" s="10" t="str">
        <f aca="false">IF(J25&lt;&gt;"",TRIM(IFERROR(LEFT(J25,FIND("(",J25)-1),J25)),X24)</f>
        <v/>
      </c>
      <c r="Y25" s="10" t="str">
        <f aca="false">IF(L25&lt;&gt;"",TRIM(IFERROR(LEFT(L25,FIND("(",L25)-1),L25)),Y24)</f>
        <v/>
      </c>
      <c r="Z25" s="10" t="str">
        <f aca="false">IF(N25&lt;&gt;"",TRIM(IFERROR(LEFT(N25,FIND("(",N25)-1),N25)),Z24)</f>
        <v/>
      </c>
      <c r="AA25" s="10" t="str">
        <f aca="false">IF(P25&lt;&gt;"",TRIM(IFERROR(LEFT(P25,FIND("(",P25)-1),P25)),AA24)</f>
        <v/>
      </c>
      <c r="AD25" s="10" t="str">
        <f aca="false">IF(C25="","",IF(T25="","(sin responsabilidad)",T25))</f>
        <v/>
      </c>
      <c r="AE25" s="10" t="str">
        <f aca="false">IF(E25="","",IF(U25="","(sin responsabilidad)",U25))</f>
        <v/>
      </c>
      <c r="AF25" s="10" t="str">
        <f aca="false">IF(G25="","",IF(V25="","(sin responsabilidad)",V25))</f>
        <v/>
      </c>
      <c r="AG25" s="10" t="str">
        <f aca="false">IF(I25="","",IF(W25="","(sin responsabilidad)",W25))</f>
        <v/>
      </c>
      <c r="AH25" s="10" t="str">
        <f aca="false">IF(K25="","",IF(X25="","(sin responsabilidad)",X25))</f>
        <v/>
      </c>
      <c r="AI25" s="10" t="str">
        <f aca="false">IF(M25="","",IF(Y25="","(sin responsabilidad)",Y25))</f>
        <v/>
      </c>
      <c r="AJ25" s="10" t="str">
        <f aca="false">IF(O25="","",IF(Z25="","(sin responsabilidad)",Z25))</f>
        <v/>
      </c>
      <c r="AK25" s="10" t="str">
        <f aca="false">IF(Q25="","",IF(AA25="","(sin responsabilidad)",AA25))</f>
        <v/>
      </c>
      <c r="AN25" s="10" t="str">
        <f aca="false">IF(C25="","",TRIM(IFERROR(LEFT(C25,FIND("(",C25)-1),C25)))</f>
        <v/>
      </c>
      <c r="AO25" s="10" t="str">
        <f aca="false">IF(E25="","",TRIM(IFERROR(LEFT(E25,FIND("(",E25)-1),E25)))</f>
        <v/>
      </c>
      <c r="AP25" s="10" t="str">
        <f aca="false">IF(G25="","",TRIM(IFERROR(LEFT(G25,FIND("(",G25)-1),G25)))</f>
        <v/>
      </c>
      <c r="AQ25" s="10" t="str">
        <f aca="false">IF(I25="","",TRIM(IFERROR(LEFT(I25,FIND("(",I25)-1),I25)))</f>
        <v/>
      </c>
      <c r="AR25" s="10" t="str">
        <f aca="false">IF(K25="","",TRIM(IFERROR(LEFT(K25,FIND("(",K25)-1),K25)))</f>
        <v/>
      </c>
      <c r="AS25" s="10" t="str">
        <f aca="false">IF(M25="","",TRIM(IFERROR(LEFT(M25,FIND("(",M25)-1),M25)))</f>
        <v/>
      </c>
      <c r="AT25" s="10" t="str">
        <f aca="false">IF(O25="","",TRIM(IFERROR(LEFT(O25,FIND("(",O25)-1),O25)))</f>
        <v/>
      </c>
      <c r="AU25" s="10" t="str">
        <f aca="false">IF(Q25="","",TRIM(IFERROR(LEFT(Q25,FIND("(",Q25)-1),Q25)))</f>
        <v/>
      </c>
    </row>
    <row r="26" customFormat="false" ht="15" hidden="false" customHeight="false" outlineLevel="0" collapsed="false">
      <c r="A26" s="14" t="n">
        <v>12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T26" s="10" t="str">
        <f aca="false">IF(B26&lt;&gt;"",TRIM(IFERROR(LEFT(B26,FIND("(",B26)-1),B26)),T25)</f>
        <v/>
      </c>
      <c r="U26" s="10" t="str">
        <f aca="false">IF(D26&lt;&gt;"",TRIM(IFERROR(LEFT(D26,FIND("(",D26)-1),D26)),U25)</f>
        <v/>
      </c>
      <c r="V26" s="10" t="str">
        <f aca="false">IF(F26&lt;&gt;"",TRIM(IFERROR(LEFT(F26,FIND("(",F26)-1),F26)),V25)</f>
        <v/>
      </c>
      <c r="W26" s="10" t="str">
        <f aca="false">IF(H26&lt;&gt;"",TRIM(IFERROR(LEFT(H26,FIND("(",H26)-1),H26)),W25)</f>
        <v/>
      </c>
      <c r="X26" s="10" t="str">
        <f aca="false">IF(J26&lt;&gt;"",TRIM(IFERROR(LEFT(J26,FIND("(",J26)-1),J26)),X25)</f>
        <v/>
      </c>
      <c r="Y26" s="10" t="str">
        <f aca="false">IF(L26&lt;&gt;"",TRIM(IFERROR(LEFT(L26,FIND("(",L26)-1),L26)),Y25)</f>
        <v/>
      </c>
      <c r="Z26" s="10" t="str">
        <f aca="false">IF(N26&lt;&gt;"",TRIM(IFERROR(LEFT(N26,FIND("(",N26)-1),N26)),Z25)</f>
        <v/>
      </c>
      <c r="AA26" s="10" t="str">
        <f aca="false">IF(P26&lt;&gt;"",TRIM(IFERROR(LEFT(P26,FIND("(",P26)-1),P26)),AA25)</f>
        <v/>
      </c>
      <c r="AD26" s="10" t="str">
        <f aca="false">IF(C26="","",IF(T26="","(sin responsabilidad)",T26))</f>
        <v/>
      </c>
      <c r="AE26" s="10" t="str">
        <f aca="false">IF(E26="","",IF(U26="","(sin responsabilidad)",U26))</f>
        <v/>
      </c>
      <c r="AF26" s="10" t="str">
        <f aca="false">IF(G26="","",IF(V26="","(sin responsabilidad)",V26))</f>
        <v/>
      </c>
      <c r="AG26" s="10" t="str">
        <f aca="false">IF(I26="","",IF(W26="","(sin responsabilidad)",W26))</f>
        <v/>
      </c>
      <c r="AH26" s="10" t="str">
        <f aca="false">IF(K26="","",IF(X26="","(sin responsabilidad)",X26))</f>
        <v/>
      </c>
      <c r="AI26" s="10" t="str">
        <f aca="false">IF(M26="","",IF(Y26="","(sin responsabilidad)",Y26))</f>
        <v/>
      </c>
      <c r="AJ26" s="10" t="str">
        <f aca="false">IF(O26="","",IF(Z26="","(sin responsabilidad)",Z26))</f>
        <v/>
      </c>
      <c r="AK26" s="10" t="str">
        <f aca="false">IF(Q26="","",IF(AA26="","(sin responsabilidad)",AA26))</f>
        <v/>
      </c>
      <c r="AN26" s="10" t="str">
        <f aca="false">IF(C26="","",TRIM(IFERROR(LEFT(C26,FIND("(",C26)-1),C26)))</f>
        <v/>
      </c>
      <c r="AO26" s="10" t="str">
        <f aca="false">IF(E26="","",TRIM(IFERROR(LEFT(E26,FIND("(",E26)-1),E26)))</f>
        <v/>
      </c>
      <c r="AP26" s="10" t="str">
        <f aca="false">IF(G26="","",TRIM(IFERROR(LEFT(G26,FIND("(",G26)-1),G26)))</f>
        <v/>
      </c>
      <c r="AQ26" s="10" t="str">
        <f aca="false">IF(I26="","",TRIM(IFERROR(LEFT(I26,FIND("(",I26)-1),I26)))</f>
        <v/>
      </c>
      <c r="AR26" s="10" t="str">
        <f aca="false">IF(K26="","",TRIM(IFERROR(LEFT(K26,FIND("(",K26)-1),K26)))</f>
        <v/>
      </c>
      <c r="AS26" s="10" t="str">
        <f aca="false">IF(M26="","",TRIM(IFERROR(LEFT(M26,FIND("(",M26)-1),M26)))</f>
        <v/>
      </c>
      <c r="AT26" s="10" t="str">
        <f aca="false">IF(O26="","",TRIM(IFERROR(LEFT(O26,FIND("(",O26)-1),O26)))</f>
        <v/>
      </c>
      <c r="AU26" s="10" t="str">
        <f aca="false">IF(Q26="","",TRIM(IFERROR(LEFT(Q26,FIND("(",Q26)-1),Q26)))</f>
        <v/>
      </c>
    </row>
    <row r="27" customFormat="false" ht="15" hidden="false" customHeight="false" outlineLevel="0" collapsed="false">
      <c r="A27" s="14" t="n">
        <v>13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T27" s="10" t="str">
        <f aca="false">IF(B27&lt;&gt;"",TRIM(IFERROR(LEFT(B27,FIND("(",B27)-1),B27)),T26)</f>
        <v/>
      </c>
      <c r="U27" s="10" t="str">
        <f aca="false">IF(D27&lt;&gt;"",TRIM(IFERROR(LEFT(D27,FIND("(",D27)-1),D27)),U26)</f>
        <v/>
      </c>
      <c r="V27" s="10" t="str">
        <f aca="false">IF(F27&lt;&gt;"",TRIM(IFERROR(LEFT(F27,FIND("(",F27)-1),F27)),V26)</f>
        <v/>
      </c>
      <c r="W27" s="10" t="str">
        <f aca="false">IF(H27&lt;&gt;"",TRIM(IFERROR(LEFT(H27,FIND("(",H27)-1),H27)),W26)</f>
        <v/>
      </c>
      <c r="X27" s="10" t="str">
        <f aca="false">IF(J27&lt;&gt;"",TRIM(IFERROR(LEFT(J27,FIND("(",J27)-1),J27)),X26)</f>
        <v/>
      </c>
      <c r="Y27" s="10" t="str">
        <f aca="false">IF(L27&lt;&gt;"",TRIM(IFERROR(LEFT(L27,FIND("(",L27)-1),L27)),Y26)</f>
        <v/>
      </c>
      <c r="Z27" s="10" t="str">
        <f aca="false">IF(N27&lt;&gt;"",TRIM(IFERROR(LEFT(N27,FIND("(",N27)-1),N27)),Z26)</f>
        <v/>
      </c>
      <c r="AA27" s="10" t="str">
        <f aca="false">IF(P27&lt;&gt;"",TRIM(IFERROR(LEFT(P27,FIND("(",P27)-1),P27)),AA26)</f>
        <v/>
      </c>
      <c r="AD27" s="10" t="str">
        <f aca="false">IF(C27="","",IF(T27="","(sin responsabilidad)",T27))</f>
        <v/>
      </c>
      <c r="AE27" s="10" t="str">
        <f aca="false">IF(E27="","",IF(U27="","(sin responsabilidad)",U27))</f>
        <v/>
      </c>
      <c r="AF27" s="10" t="str">
        <f aca="false">IF(G27="","",IF(V27="","(sin responsabilidad)",V27))</f>
        <v/>
      </c>
      <c r="AG27" s="10" t="str">
        <f aca="false">IF(I27="","",IF(W27="","(sin responsabilidad)",W27))</f>
        <v/>
      </c>
      <c r="AH27" s="10" t="str">
        <f aca="false">IF(K27="","",IF(X27="","(sin responsabilidad)",X27))</f>
        <v/>
      </c>
      <c r="AI27" s="10" t="str">
        <f aca="false">IF(M27="","",IF(Y27="","(sin responsabilidad)",Y27))</f>
        <v/>
      </c>
      <c r="AJ27" s="10" t="str">
        <f aca="false">IF(O27="","",IF(Z27="","(sin responsabilidad)",Z27))</f>
        <v/>
      </c>
      <c r="AK27" s="10" t="str">
        <f aca="false">IF(Q27="","",IF(AA27="","(sin responsabilidad)",AA27))</f>
        <v/>
      </c>
      <c r="AN27" s="10" t="str">
        <f aca="false">IF(C27="","",TRIM(IFERROR(LEFT(C27,FIND("(",C27)-1),C27)))</f>
        <v/>
      </c>
      <c r="AO27" s="10" t="str">
        <f aca="false">IF(E27="","",TRIM(IFERROR(LEFT(E27,FIND("(",E27)-1),E27)))</f>
        <v/>
      </c>
      <c r="AP27" s="10" t="str">
        <f aca="false">IF(G27="","",TRIM(IFERROR(LEFT(G27,FIND("(",G27)-1),G27)))</f>
        <v/>
      </c>
      <c r="AQ27" s="10" t="str">
        <f aca="false">IF(I27="","",TRIM(IFERROR(LEFT(I27,FIND("(",I27)-1),I27)))</f>
        <v/>
      </c>
      <c r="AR27" s="10" t="str">
        <f aca="false">IF(K27="","",TRIM(IFERROR(LEFT(K27,FIND("(",K27)-1),K27)))</f>
        <v/>
      </c>
      <c r="AS27" s="10" t="str">
        <f aca="false">IF(M27="","",TRIM(IFERROR(LEFT(M27,FIND("(",M27)-1),M27)))</f>
        <v/>
      </c>
      <c r="AT27" s="10" t="str">
        <f aca="false">IF(O27="","",TRIM(IFERROR(LEFT(O27,FIND("(",O27)-1),O27)))</f>
        <v/>
      </c>
      <c r="AU27" s="10" t="str">
        <f aca="false">IF(Q27="","",TRIM(IFERROR(LEFT(Q27,FIND("(",Q27)-1),Q27)))</f>
        <v/>
      </c>
    </row>
    <row r="28" customFormat="false" ht="15" hidden="false" customHeight="false" outlineLevel="0" collapsed="false">
      <c r="A28" s="14" t="n">
        <v>14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T28" s="10" t="str">
        <f aca="false">IF(B28&lt;&gt;"",TRIM(IFERROR(LEFT(B28,FIND("(",B28)-1),B28)),T27)</f>
        <v/>
      </c>
      <c r="U28" s="10" t="str">
        <f aca="false">IF(D28&lt;&gt;"",TRIM(IFERROR(LEFT(D28,FIND("(",D28)-1),D28)),U27)</f>
        <v/>
      </c>
      <c r="V28" s="10" t="str">
        <f aca="false">IF(F28&lt;&gt;"",TRIM(IFERROR(LEFT(F28,FIND("(",F28)-1),F28)),V27)</f>
        <v/>
      </c>
      <c r="W28" s="10" t="str">
        <f aca="false">IF(H28&lt;&gt;"",TRIM(IFERROR(LEFT(H28,FIND("(",H28)-1),H28)),W27)</f>
        <v/>
      </c>
      <c r="X28" s="10" t="str">
        <f aca="false">IF(J28&lt;&gt;"",TRIM(IFERROR(LEFT(J28,FIND("(",J28)-1),J28)),X27)</f>
        <v/>
      </c>
      <c r="Y28" s="10" t="str">
        <f aca="false">IF(L28&lt;&gt;"",TRIM(IFERROR(LEFT(L28,FIND("(",L28)-1),L28)),Y27)</f>
        <v/>
      </c>
      <c r="Z28" s="10" t="str">
        <f aca="false">IF(N28&lt;&gt;"",TRIM(IFERROR(LEFT(N28,FIND("(",N28)-1),N28)),Z27)</f>
        <v/>
      </c>
      <c r="AA28" s="10" t="str">
        <f aca="false">IF(P28&lt;&gt;"",TRIM(IFERROR(LEFT(P28,FIND("(",P28)-1),P28)),AA27)</f>
        <v/>
      </c>
      <c r="AD28" s="10" t="str">
        <f aca="false">IF(C28="","",IF(T28="","(sin responsabilidad)",T28))</f>
        <v/>
      </c>
      <c r="AE28" s="10" t="str">
        <f aca="false">IF(E28="","",IF(U28="","(sin responsabilidad)",U28))</f>
        <v/>
      </c>
      <c r="AF28" s="10" t="str">
        <f aca="false">IF(G28="","",IF(V28="","(sin responsabilidad)",V28))</f>
        <v/>
      </c>
      <c r="AG28" s="10" t="str">
        <f aca="false">IF(I28="","",IF(W28="","(sin responsabilidad)",W28))</f>
        <v/>
      </c>
      <c r="AH28" s="10" t="str">
        <f aca="false">IF(K28="","",IF(X28="","(sin responsabilidad)",X28))</f>
        <v/>
      </c>
      <c r="AI28" s="10" t="str">
        <f aca="false">IF(M28="","",IF(Y28="","(sin responsabilidad)",Y28))</f>
        <v/>
      </c>
      <c r="AJ28" s="10" t="str">
        <f aca="false">IF(O28="","",IF(Z28="","(sin responsabilidad)",Z28))</f>
        <v/>
      </c>
      <c r="AK28" s="10" t="str">
        <f aca="false">IF(Q28="","",IF(AA28="","(sin responsabilidad)",AA28))</f>
        <v/>
      </c>
      <c r="AN28" s="10" t="str">
        <f aca="false">IF(C28="","",TRIM(IFERROR(LEFT(C28,FIND("(",C28)-1),C28)))</f>
        <v/>
      </c>
      <c r="AO28" s="10" t="str">
        <f aca="false">IF(E28="","",TRIM(IFERROR(LEFT(E28,FIND("(",E28)-1),E28)))</f>
        <v/>
      </c>
      <c r="AP28" s="10" t="str">
        <f aca="false">IF(G28="","",TRIM(IFERROR(LEFT(G28,FIND("(",G28)-1),G28)))</f>
        <v/>
      </c>
      <c r="AQ28" s="10" t="str">
        <f aca="false">IF(I28="","",TRIM(IFERROR(LEFT(I28,FIND("(",I28)-1),I28)))</f>
        <v/>
      </c>
      <c r="AR28" s="10" t="str">
        <f aca="false">IF(K28="","",TRIM(IFERROR(LEFT(K28,FIND("(",K28)-1),K28)))</f>
        <v/>
      </c>
      <c r="AS28" s="10" t="str">
        <f aca="false">IF(M28="","",TRIM(IFERROR(LEFT(M28,FIND("(",M28)-1),M28)))</f>
        <v/>
      </c>
      <c r="AT28" s="10" t="str">
        <f aca="false">IF(O28="","",TRIM(IFERROR(LEFT(O28,FIND("(",O28)-1),O28)))</f>
        <v/>
      </c>
      <c r="AU28" s="10" t="str">
        <f aca="false">IF(Q28="","",TRIM(IFERROR(LEFT(Q28,FIND("(",Q28)-1),Q28)))</f>
        <v/>
      </c>
    </row>
    <row r="29" customFormat="false" ht="15" hidden="false" customHeight="false" outlineLevel="0" collapsed="false">
      <c r="A29" s="14" t="n">
        <v>15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T29" s="10" t="str">
        <f aca="false">IF(B29&lt;&gt;"",TRIM(IFERROR(LEFT(B29,FIND("(",B29)-1),B29)),T28)</f>
        <v/>
      </c>
      <c r="U29" s="10" t="str">
        <f aca="false">IF(D29&lt;&gt;"",TRIM(IFERROR(LEFT(D29,FIND("(",D29)-1),D29)),U28)</f>
        <v/>
      </c>
      <c r="V29" s="10" t="str">
        <f aca="false">IF(F29&lt;&gt;"",TRIM(IFERROR(LEFT(F29,FIND("(",F29)-1),F29)),V28)</f>
        <v/>
      </c>
      <c r="W29" s="10" t="str">
        <f aca="false">IF(H29&lt;&gt;"",TRIM(IFERROR(LEFT(H29,FIND("(",H29)-1),H29)),W28)</f>
        <v/>
      </c>
      <c r="X29" s="10" t="str">
        <f aca="false">IF(J29&lt;&gt;"",TRIM(IFERROR(LEFT(J29,FIND("(",J29)-1),J29)),X28)</f>
        <v/>
      </c>
      <c r="Y29" s="10" t="str">
        <f aca="false">IF(L29&lt;&gt;"",TRIM(IFERROR(LEFT(L29,FIND("(",L29)-1),L29)),Y28)</f>
        <v/>
      </c>
      <c r="Z29" s="10" t="str">
        <f aca="false">IF(N29&lt;&gt;"",TRIM(IFERROR(LEFT(N29,FIND("(",N29)-1),N29)),Z28)</f>
        <v/>
      </c>
      <c r="AA29" s="10" t="str">
        <f aca="false">IF(P29&lt;&gt;"",TRIM(IFERROR(LEFT(P29,FIND("(",P29)-1),P29)),AA28)</f>
        <v/>
      </c>
      <c r="AD29" s="10" t="str">
        <f aca="false">IF(C29="","",IF(T29="","(sin responsabilidad)",T29))</f>
        <v/>
      </c>
      <c r="AE29" s="10" t="str">
        <f aca="false">IF(E29="","",IF(U29="","(sin responsabilidad)",U29))</f>
        <v/>
      </c>
      <c r="AF29" s="10" t="str">
        <f aca="false">IF(G29="","",IF(V29="","(sin responsabilidad)",V29))</f>
        <v/>
      </c>
      <c r="AG29" s="10" t="str">
        <f aca="false">IF(I29="","",IF(W29="","(sin responsabilidad)",W29))</f>
        <v/>
      </c>
      <c r="AH29" s="10" t="str">
        <f aca="false">IF(K29="","",IF(X29="","(sin responsabilidad)",X29))</f>
        <v/>
      </c>
      <c r="AI29" s="10" t="str">
        <f aca="false">IF(M29="","",IF(Y29="","(sin responsabilidad)",Y29))</f>
        <v/>
      </c>
      <c r="AJ29" s="10" t="str">
        <f aca="false">IF(O29="","",IF(Z29="","(sin responsabilidad)",Z29))</f>
        <v/>
      </c>
      <c r="AK29" s="10" t="str">
        <f aca="false">IF(Q29="","",IF(AA29="","(sin responsabilidad)",AA29))</f>
        <v/>
      </c>
      <c r="AN29" s="10" t="str">
        <f aca="false">IF(C29="","",TRIM(IFERROR(LEFT(C29,FIND("(",C29)-1),C29)))</f>
        <v/>
      </c>
      <c r="AO29" s="10" t="str">
        <f aca="false">IF(E29="","",TRIM(IFERROR(LEFT(E29,FIND("(",E29)-1),E29)))</f>
        <v/>
      </c>
      <c r="AP29" s="10" t="str">
        <f aca="false">IF(G29="","",TRIM(IFERROR(LEFT(G29,FIND("(",G29)-1),G29)))</f>
        <v/>
      </c>
      <c r="AQ29" s="10" t="str">
        <f aca="false">IF(I29="","",TRIM(IFERROR(LEFT(I29,FIND("(",I29)-1),I29)))</f>
        <v/>
      </c>
      <c r="AR29" s="10" t="str">
        <f aca="false">IF(K29="","",TRIM(IFERROR(LEFT(K29,FIND("(",K29)-1),K29)))</f>
        <v/>
      </c>
      <c r="AS29" s="10" t="str">
        <f aca="false">IF(M29="","",TRIM(IFERROR(LEFT(M29,FIND("(",M29)-1),M29)))</f>
        <v/>
      </c>
      <c r="AT29" s="10" t="str">
        <f aca="false">IF(O29="","",TRIM(IFERROR(LEFT(O29,FIND("(",O29)-1),O29)))</f>
        <v/>
      </c>
      <c r="AU29" s="10" t="str">
        <f aca="false">IF(Q29="","",TRIM(IFERROR(LEFT(Q29,FIND("(",Q29)-1),Q29)))</f>
        <v/>
      </c>
    </row>
    <row r="30" customFormat="false" ht="15" hidden="false" customHeight="false" outlineLevel="0" collapsed="false">
      <c r="A30" s="14" t="n">
        <v>16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T30" s="10" t="str">
        <f aca="false">IF(B30&lt;&gt;"",TRIM(IFERROR(LEFT(B30,FIND("(",B30)-1),B30)),T29)</f>
        <v/>
      </c>
      <c r="U30" s="10" t="str">
        <f aca="false">IF(D30&lt;&gt;"",TRIM(IFERROR(LEFT(D30,FIND("(",D30)-1),D30)),U29)</f>
        <v/>
      </c>
      <c r="V30" s="10" t="str">
        <f aca="false">IF(F30&lt;&gt;"",TRIM(IFERROR(LEFT(F30,FIND("(",F30)-1),F30)),V29)</f>
        <v/>
      </c>
      <c r="W30" s="10" t="str">
        <f aca="false">IF(H30&lt;&gt;"",TRIM(IFERROR(LEFT(H30,FIND("(",H30)-1),H30)),W29)</f>
        <v/>
      </c>
      <c r="X30" s="10" t="str">
        <f aca="false">IF(J30&lt;&gt;"",TRIM(IFERROR(LEFT(J30,FIND("(",J30)-1),J30)),X29)</f>
        <v/>
      </c>
      <c r="Y30" s="10" t="str">
        <f aca="false">IF(L30&lt;&gt;"",TRIM(IFERROR(LEFT(L30,FIND("(",L30)-1),L30)),Y29)</f>
        <v/>
      </c>
      <c r="Z30" s="10" t="str">
        <f aca="false">IF(N30&lt;&gt;"",TRIM(IFERROR(LEFT(N30,FIND("(",N30)-1),N30)),Z29)</f>
        <v/>
      </c>
      <c r="AA30" s="10" t="str">
        <f aca="false">IF(P30&lt;&gt;"",TRIM(IFERROR(LEFT(P30,FIND("(",P30)-1),P30)),AA29)</f>
        <v/>
      </c>
      <c r="AD30" s="10" t="str">
        <f aca="false">IF(C30="","",IF(T30="","(sin responsabilidad)",T30))</f>
        <v/>
      </c>
      <c r="AE30" s="10" t="str">
        <f aca="false">IF(E30="","",IF(U30="","(sin responsabilidad)",U30))</f>
        <v/>
      </c>
      <c r="AF30" s="10" t="str">
        <f aca="false">IF(G30="","",IF(V30="","(sin responsabilidad)",V30))</f>
        <v/>
      </c>
      <c r="AG30" s="10" t="str">
        <f aca="false">IF(I30="","",IF(W30="","(sin responsabilidad)",W30))</f>
        <v/>
      </c>
      <c r="AH30" s="10" t="str">
        <f aca="false">IF(K30="","",IF(X30="","(sin responsabilidad)",X30))</f>
        <v/>
      </c>
      <c r="AI30" s="10" t="str">
        <f aca="false">IF(M30="","",IF(Y30="","(sin responsabilidad)",Y30))</f>
        <v/>
      </c>
      <c r="AJ30" s="10" t="str">
        <f aca="false">IF(O30="","",IF(Z30="","(sin responsabilidad)",Z30))</f>
        <v/>
      </c>
      <c r="AK30" s="10" t="str">
        <f aca="false">IF(Q30="","",IF(AA30="","(sin responsabilidad)",AA30))</f>
        <v/>
      </c>
      <c r="AN30" s="10" t="str">
        <f aca="false">IF(C30="","",TRIM(IFERROR(LEFT(C30,FIND("(",C30)-1),C30)))</f>
        <v/>
      </c>
      <c r="AO30" s="10" t="str">
        <f aca="false">IF(E30="","",TRIM(IFERROR(LEFT(E30,FIND("(",E30)-1),E30)))</f>
        <v/>
      </c>
      <c r="AP30" s="10" t="str">
        <f aca="false">IF(G30="","",TRIM(IFERROR(LEFT(G30,FIND("(",G30)-1),G30)))</f>
        <v/>
      </c>
      <c r="AQ30" s="10" t="str">
        <f aca="false">IF(I30="","",TRIM(IFERROR(LEFT(I30,FIND("(",I30)-1),I30)))</f>
        <v/>
      </c>
      <c r="AR30" s="10" t="str">
        <f aca="false">IF(K30="","",TRIM(IFERROR(LEFT(K30,FIND("(",K30)-1),K30)))</f>
        <v/>
      </c>
      <c r="AS30" s="10" t="str">
        <f aca="false">IF(M30="","",TRIM(IFERROR(LEFT(M30,FIND("(",M30)-1),M30)))</f>
        <v/>
      </c>
      <c r="AT30" s="10" t="str">
        <f aca="false">IF(O30="","",TRIM(IFERROR(LEFT(O30,FIND("(",O30)-1),O30)))</f>
        <v/>
      </c>
      <c r="AU30" s="10" t="str">
        <f aca="false">IF(Q30="","",TRIM(IFERROR(LEFT(Q30,FIND("(",Q30)-1),Q30)))</f>
        <v/>
      </c>
    </row>
    <row r="31" customFormat="false" ht="15" hidden="false" customHeight="false" outlineLevel="0" collapsed="false">
      <c r="A31" s="14" t="n">
        <v>17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T31" s="10" t="str">
        <f aca="false">IF(B31&lt;&gt;"",TRIM(IFERROR(LEFT(B31,FIND("(",B31)-1),B31)),T30)</f>
        <v/>
      </c>
      <c r="U31" s="10" t="str">
        <f aca="false">IF(D31&lt;&gt;"",TRIM(IFERROR(LEFT(D31,FIND("(",D31)-1),D31)),U30)</f>
        <v/>
      </c>
      <c r="V31" s="10" t="str">
        <f aca="false">IF(F31&lt;&gt;"",TRIM(IFERROR(LEFT(F31,FIND("(",F31)-1),F31)),V30)</f>
        <v/>
      </c>
      <c r="W31" s="10" t="str">
        <f aca="false">IF(H31&lt;&gt;"",TRIM(IFERROR(LEFT(H31,FIND("(",H31)-1),H31)),W30)</f>
        <v/>
      </c>
      <c r="X31" s="10" t="str">
        <f aca="false">IF(J31&lt;&gt;"",TRIM(IFERROR(LEFT(J31,FIND("(",J31)-1),J31)),X30)</f>
        <v/>
      </c>
      <c r="Y31" s="10" t="str">
        <f aca="false">IF(L31&lt;&gt;"",TRIM(IFERROR(LEFT(L31,FIND("(",L31)-1),L31)),Y30)</f>
        <v/>
      </c>
      <c r="Z31" s="10" t="str">
        <f aca="false">IF(N31&lt;&gt;"",TRIM(IFERROR(LEFT(N31,FIND("(",N31)-1),N31)),Z30)</f>
        <v/>
      </c>
      <c r="AA31" s="10" t="str">
        <f aca="false">IF(P31&lt;&gt;"",TRIM(IFERROR(LEFT(P31,FIND("(",P31)-1),P31)),AA30)</f>
        <v/>
      </c>
      <c r="AD31" s="10" t="str">
        <f aca="false">IF(C31="","",IF(T31="","(sin responsabilidad)",T31))</f>
        <v/>
      </c>
      <c r="AE31" s="10" t="str">
        <f aca="false">IF(E31="","",IF(U31="","(sin responsabilidad)",U31))</f>
        <v/>
      </c>
      <c r="AF31" s="10" t="str">
        <f aca="false">IF(G31="","",IF(V31="","(sin responsabilidad)",V31))</f>
        <v/>
      </c>
      <c r="AG31" s="10" t="str">
        <f aca="false">IF(I31="","",IF(W31="","(sin responsabilidad)",W31))</f>
        <v/>
      </c>
      <c r="AH31" s="10" t="str">
        <f aca="false">IF(K31="","",IF(X31="","(sin responsabilidad)",X31))</f>
        <v/>
      </c>
      <c r="AI31" s="10" t="str">
        <f aca="false">IF(M31="","",IF(Y31="","(sin responsabilidad)",Y31))</f>
        <v/>
      </c>
      <c r="AJ31" s="10" t="str">
        <f aca="false">IF(O31="","",IF(Z31="","(sin responsabilidad)",Z31))</f>
        <v/>
      </c>
      <c r="AK31" s="10" t="str">
        <f aca="false">IF(Q31="","",IF(AA31="","(sin responsabilidad)",AA31))</f>
        <v/>
      </c>
      <c r="AN31" s="10" t="str">
        <f aca="false">IF(C31="","",TRIM(IFERROR(LEFT(C31,FIND("(",C31)-1),C31)))</f>
        <v/>
      </c>
      <c r="AO31" s="10" t="str">
        <f aca="false">IF(E31="","",TRIM(IFERROR(LEFT(E31,FIND("(",E31)-1),E31)))</f>
        <v/>
      </c>
      <c r="AP31" s="10" t="str">
        <f aca="false">IF(G31="","",TRIM(IFERROR(LEFT(G31,FIND("(",G31)-1),G31)))</f>
        <v/>
      </c>
      <c r="AQ31" s="10" t="str">
        <f aca="false">IF(I31="","",TRIM(IFERROR(LEFT(I31,FIND("(",I31)-1),I31)))</f>
        <v/>
      </c>
      <c r="AR31" s="10" t="str">
        <f aca="false">IF(K31="","",TRIM(IFERROR(LEFT(K31,FIND("(",K31)-1),K31)))</f>
        <v/>
      </c>
      <c r="AS31" s="10" t="str">
        <f aca="false">IF(M31="","",TRIM(IFERROR(LEFT(M31,FIND("(",M31)-1),M31)))</f>
        <v/>
      </c>
      <c r="AT31" s="10" t="str">
        <f aca="false">IF(O31="","",TRIM(IFERROR(LEFT(O31,FIND("(",O31)-1),O31)))</f>
        <v/>
      </c>
      <c r="AU31" s="10" t="str">
        <f aca="false">IF(Q31="","",TRIM(IFERROR(LEFT(Q31,FIND("(",Q31)-1),Q31)))</f>
        <v/>
      </c>
    </row>
    <row r="32" customFormat="false" ht="15" hidden="false" customHeight="false" outlineLevel="0" collapsed="false">
      <c r="A32" s="14" t="n">
        <v>18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T32" s="10" t="str">
        <f aca="false">IF(B32&lt;&gt;"",TRIM(IFERROR(LEFT(B32,FIND("(",B32)-1),B32)),T31)</f>
        <v/>
      </c>
      <c r="U32" s="10" t="str">
        <f aca="false">IF(D32&lt;&gt;"",TRIM(IFERROR(LEFT(D32,FIND("(",D32)-1),D32)),U31)</f>
        <v/>
      </c>
      <c r="V32" s="10" t="str">
        <f aca="false">IF(F32&lt;&gt;"",TRIM(IFERROR(LEFT(F32,FIND("(",F32)-1),F32)),V31)</f>
        <v/>
      </c>
      <c r="W32" s="10" t="str">
        <f aca="false">IF(H32&lt;&gt;"",TRIM(IFERROR(LEFT(H32,FIND("(",H32)-1),H32)),W31)</f>
        <v/>
      </c>
      <c r="X32" s="10" t="str">
        <f aca="false">IF(J32&lt;&gt;"",TRIM(IFERROR(LEFT(J32,FIND("(",J32)-1),J32)),X31)</f>
        <v/>
      </c>
      <c r="Y32" s="10" t="str">
        <f aca="false">IF(L32&lt;&gt;"",TRIM(IFERROR(LEFT(L32,FIND("(",L32)-1),L32)),Y31)</f>
        <v/>
      </c>
      <c r="Z32" s="10" t="str">
        <f aca="false">IF(N32&lt;&gt;"",TRIM(IFERROR(LEFT(N32,FIND("(",N32)-1),N32)),Z31)</f>
        <v/>
      </c>
      <c r="AA32" s="10" t="str">
        <f aca="false">IF(P32&lt;&gt;"",TRIM(IFERROR(LEFT(P32,FIND("(",P32)-1),P32)),AA31)</f>
        <v/>
      </c>
      <c r="AD32" s="10" t="str">
        <f aca="false">IF(C32="","",IF(T32="","(sin responsabilidad)",T32))</f>
        <v/>
      </c>
      <c r="AE32" s="10" t="str">
        <f aca="false">IF(E32="","",IF(U32="","(sin responsabilidad)",U32))</f>
        <v/>
      </c>
      <c r="AF32" s="10" t="str">
        <f aca="false">IF(G32="","",IF(V32="","(sin responsabilidad)",V32))</f>
        <v/>
      </c>
      <c r="AG32" s="10" t="str">
        <f aca="false">IF(I32="","",IF(W32="","(sin responsabilidad)",W32))</f>
        <v/>
      </c>
      <c r="AH32" s="10" t="str">
        <f aca="false">IF(K32="","",IF(X32="","(sin responsabilidad)",X32))</f>
        <v/>
      </c>
      <c r="AI32" s="10" t="str">
        <f aca="false">IF(M32="","",IF(Y32="","(sin responsabilidad)",Y32))</f>
        <v/>
      </c>
      <c r="AJ32" s="10" t="str">
        <f aca="false">IF(O32="","",IF(Z32="","(sin responsabilidad)",Z32))</f>
        <v/>
      </c>
      <c r="AK32" s="10" t="str">
        <f aca="false">IF(Q32="","",IF(AA32="","(sin responsabilidad)",AA32))</f>
        <v/>
      </c>
      <c r="AN32" s="10" t="str">
        <f aca="false">IF(C32="","",TRIM(IFERROR(LEFT(C32,FIND("(",C32)-1),C32)))</f>
        <v/>
      </c>
      <c r="AO32" s="10" t="str">
        <f aca="false">IF(E32="","",TRIM(IFERROR(LEFT(E32,FIND("(",E32)-1),E32)))</f>
        <v/>
      </c>
      <c r="AP32" s="10" t="str">
        <f aca="false">IF(G32="","",TRIM(IFERROR(LEFT(G32,FIND("(",G32)-1),G32)))</f>
        <v/>
      </c>
      <c r="AQ32" s="10" t="str">
        <f aca="false">IF(I32="","",TRIM(IFERROR(LEFT(I32,FIND("(",I32)-1),I32)))</f>
        <v/>
      </c>
      <c r="AR32" s="10" t="str">
        <f aca="false">IF(K32="","",TRIM(IFERROR(LEFT(K32,FIND("(",K32)-1),K32)))</f>
        <v/>
      </c>
      <c r="AS32" s="10" t="str">
        <f aca="false">IF(M32="","",TRIM(IFERROR(LEFT(M32,FIND("(",M32)-1),M32)))</f>
        <v/>
      </c>
      <c r="AT32" s="10" t="str">
        <f aca="false">IF(O32="","",TRIM(IFERROR(LEFT(O32,FIND("(",O32)-1),O32)))</f>
        <v/>
      </c>
      <c r="AU32" s="10" t="str">
        <f aca="false">IF(Q32="","",TRIM(IFERROR(LEFT(Q32,FIND("(",Q32)-1),Q32)))</f>
        <v/>
      </c>
    </row>
    <row r="33" customFormat="false" ht="15" hidden="false" customHeight="false" outlineLevel="0" collapsed="false">
      <c r="A33" s="14" t="n">
        <v>19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T33" s="10" t="str">
        <f aca="false">IF(B33&lt;&gt;"",TRIM(IFERROR(LEFT(B33,FIND("(",B33)-1),B33)),T32)</f>
        <v/>
      </c>
      <c r="U33" s="10" t="str">
        <f aca="false">IF(D33&lt;&gt;"",TRIM(IFERROR(LEFT(D33,FIND("(",D33)-1),D33)),U32)</f>
        <v/>
      </c>
      <c r="V33" s="10" t="str">
        <f aca="false">IF(F33&lt;&gt;"",TRIM(IFERROR(LEFT(F33,FIND("(",F33)-1),F33)),V32)</f>
        <v/>
      </c>
      <c r="W33" s="10" t="str">
        <f aca="false">IF(H33&lt;&gt;"",TRIM(IFERROR(LEFT(H33,FIND("(",H33)-1),H33)),W32)</f>
        <v/>
      </c>
      <c r="X33" s="10" t="str">
        <f aca="false">IF(J33&lt;&gt;"",TRIM(IFERROR(LEFT(J33,FIND("(",J33)-1),J33)),X32)</f>
        <v/>
      </c>
      <c r="Y33" s="10" t="str">
        <f aca="false">IF(L33&lt;&gt;"",TRIM(IFERROR(LEFT(L33,FIND("(",L33)-1),L33)),Y32)</f>
        <v/>
      </c>
      <c r="Z33" s="10" t="str">
        <f aca="false">IF(N33&lt;&gt;"",TRIM(IFERROR(LEFT(N33,FIND("(",N33)-1),N33)),Z32)</f>
        <v/>
      </c>
      <c r="AA33" s="10" t="str">
        <f aca="false">IF(P33&lt;&gt;"",TRIM(IFERROR(LEFT(P33,FIND("(",P33)-1),P33)),AA32)</f>
        <v/>
      </c>
      <c r="AD33" s="10" t="str">
        <f aca="false">IF(C33="","",IF(T33="","(sin responsabilidad)",T33))</f>
        <v/>
      </c>
      <c r="AE33" s="10" t="str">
        <f aca="false">IF(E33="","",IF(U33="","(sin responsabilidad)",U33))</f>
        <v/>
      </c>
      <c r="AF33" s="10" t="str">
        <f aca="false">IF(G33="","",IF(V33="","(sin responsabilidad)",V33))</f>
        <v/>
      </c>
      <c r="AG33" s="10" t="str">
        <f aca="false">IF(I33="","",IF(W33="","(sin responsabilidad)",W33))</f>
        <v/>
      </c>
      <c r="AH33" s="10" t="str">
        <f aca="false">IF(K33="","",IF(X33="","(sin responsabilidad)",X33))</f>
        <v/>
      </c>
      <c r="AI33" s="10" t="str">
        <f aca="false">IF(M33="","",IF(Y33="","(sin responsabilidad)",Y33))</f>
        <v/>
      </c>
      <c r="AJ33" s="10" t="str">
        <f aca="false">IF(O33="","",IF(Z33="","(sin responsabilidad)",Z33))</f>
        <v/>
      </c>
      <c r="AK33" s="10" t="str">
        <f aca="false">IF(Q33="","",IF(AA33="","(sin responsabilidad)",AA33))</f>
        <v/>
      </c>
      <c r="AN33" s="10" t="str">
        <f aca="false">IF(C33="","",TRIM(IFERROR(LEFT(C33,FIND("(",C33)-1),C33)))</f>
        <v/>
      </c>
      <c r="AO33" s="10" t="str">
        <f aca="false">IF(E33="","",TRIM(IFERROR(LEFT(E33,FIND("(",E33)-1),E33)))</f>
        <v/>
      </c>
      <c r="AP33" s="10" t="str">
        <f aca="false">IF(G33="","",TRIM(IFERROR(LEFT(G33,FIND("(",G33)-1),G33)))</f>
        <v/>
      </c>
      <c r="AQ33" s="10" t="str">
        <f aca="false">IF(I33="","",TRIM(IFERROR(LEFT(I33,FIND("(",I33)-1),I33)))</f>
        <v/>
      </c>
      <c r="AR33" s="10" t="str">
        <f aca="false">IF(K33="","",TRIM(IFERROR(LEFT(K33,FIND("(",K33)-1),K33)))</f>
        <v/>
      </c>
      <c r="AS33" s="10" t="str">
        <f aca="false">IF(M33="","",TRIM(IFERROR(LEFT(M33,FIND("(",M33)-1),M33)))</f>
        <v/>
      </c>
      <c r="AT33" s="10" t="str">
        <f aca="false">IF(O33="","",TRIM(IFERROR(LEFT(O33,FIND("(",O33)-1),O33)))</f>
        <v/>
      </c>
      <c r="AU33" s="10" t="str">
        <f aca="false">IF(Q33="","",TRIM(IFERROR(LEFT(Q33,FIND("(",Q33)-1),Q33)))</f>
        <v/>
      </c>
    </row>
    <row r="34" customFormat="false" ht="15" hidden="false" customHeight="false" outlineLevel="0" collapsed="false">
      <c r="A34" s="14" t="n">
        <v>20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T34" s="10" t="str">
        <f aca="false">IF(B34&lt;&gt;"",TRIM(IFERROR(LEFT(B34,FIND("(",B34)-1),B34)),T33)</f>
        <v/>
      </c>
      <c r="U34" s="10" t="str">
        <f aca="false">IF(D34&lt;&gt;"",TRIM(IFERROR(LEFT(D34,FIND("(",D34)-1),D34)),U33)</f>
        <v/>
      </c>
      <c r="V34" s="10" t="str">
        <f aca="false">IF(F34&lt;&gt;"",TRIM(IFERROR(LEFT(F34,FIND("(",F34)-1),F34)),V33)</f>
        <v/>
      </c>
      <c r="W34" s="10" t="str">
        <f aca="false">IF(H34&lt;&gt;"",TRIM(IFERROR(LEFT(H34,FIND("(",H34)-1),H34)),W33)</f>
        <v/>
      </c>
      <c r="X34" s="10" t="str">
        <f aca="false">IF(J34&lt;&gt;"",TRIM(IFERROR(LEFT(J34,FIND("(",J34)-1),J34)),X33)</f>
        <v/>
      </c>
      <c r="Y34" s="10" t="str">
        <f aca="false">IF(L34&lt;&gt;"",TRIM(IFERROR(LEFT(L34,FIND("(",L34)-1),L34)),Y33)</f>
        <v/>
      </c>
      <c r="Z34" s="10" t="str">
        <f aca="false">IF(N34&lt;&gt;"",TRIM(IFERROR(LEFT(N34,FIND("(",N34)-1),N34)),Z33)</f>
        <v/>
      </c>
      <c r="AA34" s="10" t="str">
        <f aca="false">IF(P34&lt;&gt;"",TRIM(IFERROR(LEFT(P34,FIND("(",P34)-1),P34)),AA33)</f>
        <v/>
      </c>
      <c r="AD34" s="10" t="str">
        <f aca="false">IF(C34="","",IF(T34="","(sin responsabilidad)",T34))</f>
        <v/>
      </c>
      <c r="AE34" s="10" t="str">
        <f aca="false">IF(E34="","",IF(U34="","(sin responsabilidad)",U34))</f>
        <v/>
      </c>
      <c r="AF34" s="10" t="str">
        <f aca="false">IF(G34="","",IF(V34="","(sin responsabilidad)",V34))</f>
        <v/>
      </c>
      <c r="AG34" s="10" t="str">
        <f aca="false">IF(I34="","",IF(W34="","(sin responsabilidad)",W34))</f>
        <v/>
      </c>
      <c r="AH34" s="10" t="str">
        <f aca="false">IF(K34="","",IF(X34="","(sin responsabilidad)",X34))</f>
        <v/>
      </c>
      <c r="AI34" s="10" t="str">
        <f aca="false">IF(M34="","",IF(Y34="","(sin responsabilidad)",Y34))</f>
        <v/>
      </c>
      <c r="AJ34" s="10" t="str">
        <f aca="false">IF(O34="","",IF(Z34="","(sin responsabilidad)",Z34))</f>
        <v/>
      </c>
      <c r="AK34" s="10" t="str">
        <f aca="false">IF(Q34="","",IF(AA34="","(sin responsabilidad)",AA34))</f>
        <v/>
      </c>
      <c r="AN34" s="10" t="str">
        <f aca="false">IF(C34="","",TRIM(IFERROR(LEFT(C34,FIND("(",C34)-1),C34)))</f>
        <v/>
      </c>
      <c r="AO34" s="10" t="str">
        <f aca="false">IF(E34="","",TRIM(IFERROR(LEFT(E34,FIND("(",E34)-1),E34)))</f>
        <v/>
      </c>
      <c r="AP34" s="10" t="str">
        <f aca="false">IF(G34="","",TRIM(IFERROR(LEFT(G34,FIND("(",G34)-1),G34)))</f>
        <v/>
      </c>
      <c r="AQ34" s="10" t="str">
        <f aca="false">IF(I34="","",TRIM(IFERROR(LEFT(I34,FIND("(",I34)-1),I34)))</f>
        <v/>
      </c>
      <c r="AR34" s="10" t="str">
        <f aca="false">IF(K34="","",TRIM(IFERROR(LEFT(K34,FIND("(",K34)-1),K34)))</f>
        <v/>
      </c>
      <c r="AS34" s="10" t="str">
        <f aca="false">IF(M34="","",TRIM(IFERROR(LEFT(M34,FIND("(",M34)-1),M34)))</f>
        <v/>
      </c>
      <c r="AT34" s="10" t="str">
        <f aca="false">IF(O34="","",TRIM(IFERROR(LEFT(O34,FIND("(",O34)-1),O34)))</f>
        <v/>
      </c>
      <c r="AU34" s="10" t="str">
        <f aca="false">IF(Q34="","",TRIM(IFERROR(LEFT(Q34,FIND("(",Q34)-1),Q34)))</f>
        <v/>
      </c>
    </row>
    <row r="35" customFormat="false" ht="15" hidden="false" customHeight="false" outlineLevel="0" collapsed="false">
      <c r="A35" s="14" t="n">
        <v>21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T35" s="10" t="str">
        <f aca="false">IF(B35&lt;&gt;"",TRIM(IFERROR(LEFT(B35,FIND("(",B35)-1),B35)),T34)</f>
        <v/>
      </c>
      <c r="U35" s="10" t="str">
        <f aca="false">IF(D35&lt;&gt;"",TRIM(IFERROR(LEFT(D35,FIND("(",D35)-1),D35)),U34)</f>
        <v/>
      </c>
      <c r="V35" s="10" t="str">
        <f aca="false">IF(F35&lt;&gt;"",TRIM(IFERROR(LEFT(F35,FIND("(",F35)-1),F35)),V34)</f>
        <v/>
      </c>
      <c r="W35" s="10" t="str">
        <f aca="false">IF(H35&lt;&gt;"",TRIM(IFERROR(LEFT(H35,FIND("(",H35)-1),H35)),W34)</f>
        <v/>
      </c>
      <c r="X35" s="10" t="str">
        <f aca="false">IF(J35&lt;&gt;"",TRIM(IFERROR(LEFT(J35,FIND("(",J35)-1),J35)),X34)</f>
        <v/>
      </c>
      <c r="Y35" s="10" t="str">
        <f aca="false">IF(L35&lt;&gt;"",TRIM(IFERROR(LEFT(L35,FIND("(",L35)-1),L35)),Y34)</f>
        <v/>
      </c>
      <c r="Z35" s="10" t="str">
        <f aca="false">IF(N35&lt;&gt;"",TRIM(IFERROR(LEFT(N35,FIND("(",N35)-1),N35)),Z34)</f>
        <v/>
      </c>
      <c r="AA35" s="10" t="str">
        <f aca="false">IF(P35&lt;&gt;"",TRIM(IFERROR(LEFT(P35,FIND("(",P35)-1),P35)),AA34)</f>
        <v/>
      </c>
      <c r="AD35" s="10" t="str">
        <f aca="false">IF(C35="","",IF(T35="","(sin responsabilidad)",T35))</f>
        <v/>
      </c>
      <c r="AE35" s="10" t="str">
        <f aca="false">IF(E35="","",IF(U35="","(sin responsabilidad)",U35))</f>
        <v/>
      </c>
      <c r="AF35" s="10" t="str">
        <f aca="false">IF(G35="","",IF(V35="","(sin responsabilidad)",V35))</f>
        <v/>
      </c>
      <c r="AG35" s="10" t="str">
        <f aca="false">IF(I35="","",IF(W35="","(sin responsabilidad)",W35))</f>
        <v/>
      </c>
      <c r="AH35" s="10" t="str">
        <f aca="false">IF(K35="","",IF(X35="","(sin responsabilidad)",X35))</f>
        <v/>
      </c>
      <c r="AI35" s="10" t="str">
        <f aca="false">IF(M35="","",IF(Y35="","(sin responsabilidad)",Y35))</f>
        <v/>
      </c>
      <c r="AJ35" s="10" t="str">
        <f aca="false">IF(O35="","",IF(Z35="","(sin responsabilidad)",Z35))</f>
        <v/>
      </c>
      <c r="AK35" s="10" t="str">
        <f aca="false">IF(Q35="","",IF(AA35="","(sin responsabilidad)",AA35))</f>
        <v/>
      </c>
      <c r="AN35" s="10" t="str">
        <f aca="false">IF(C35="","",TRIM(IFERROR(LEFT(C35,FIND("(",C35)-1),C35)))</f>
        <v/>
      </c>
      <c r="AO35" s="10" t="str">
        <f aca="false">IF(E35="","",TRIM(IFERROR(LEFT(E35,FIND("(",E35)-1),E35)))</f>
        <v/>
      </c>
      <c r="AP35" s="10" t="str">
        <f aca="false">IF(G35="","",TRIM(IFERROR(LEFT(G35,FIND("(",G35)-1),G35)))</f>
        <v/>
      </c>
      <c r="AQ35" s="10" t="str">
        <f aca="false">IF(I35="","",TRIM(IFERROR(LEFT(I35,FIND("(",I35)-1),I35)))</f>
        <v/>
      </c>
      <c r="AR35" s="10" t="str">
        <f aca="false">IF(K35="","",TRIM(IFERROR(LEFT(K35,FIND("(",K35)-1),K35)))</f>
        <v/>
      </c>
      <c r="AS35" s="10" t="str">
        <f aca="false">IF(M35="","",TRIM(IFERROR(LEFT(M35,FIND("(",M35)-1),M35)))</f>
        <v/>
      </c>
      <c r="AT35" s="10" t="str">
        <f aca="false">IF(O35="","",TRIM(IFERROR(LEFT(O35,FIND("(",O35)-1),O35)))</f>
        <v/>
      </c>
      <c r="AU35" s="10" t="str">
        <f aca="false">IF(Q35="","",TRIM(IFERROR(LEFT(Q35,FIND("(",Q35)-1),Q35)))</f>
        <v/>
      </c>
    </row>
    <row r="36" customFormat="false" ht="15" hidden="false" customHeight="false" outlineLevel="0" collapsed="false">
      <c r="A36" s="14" t="n">
        <v>22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T36" s="10" t="str">
        <f aca="false">IF(B36&lt;&gt;"",TRIM(IFERROR(LEFT(B36,FIND("(",B36)-1),B36)),T35)</f>
        <v/>
      </c>
      <c r="U36" s="10" t="str">
        <f aca="false">IF(D36&lt;&gt;"",TRIM(IFERROR(LEFT(D36,FIND("(",D36)-1),D36)),U35)</f>
        <v/>
      </c>
      <c r="V36" s="10" t="str">
        <f aca="false">IF(F36&lt;&gt;"",TRIM(IFERROR(LEFT(F36,FIND("(",F36)-1),F36)),V35)</f>
        <v/>
      </c>
      <c r="W36" s="10" t="str">
        <f aca="false">IF(H36&lt;&gt;"",TRIM(IFERROR(LEFT(H36,FIND("(",H36)-1),H36)),W35)</f>
        <v/>
      </c>
      <c r="X36" s="10" t="str">
        <f aca="false">IF(J36&lt;&gt;"",TRIM(IFERROR(LEFT(J36,FIND("(",J36)-1),J36)),X35)</f>
        <v/>
      </c>
      <c r="Y36" s="10" t="str">
        <f aca="false">IF(L36&lt;&gt;"",TRIM(IFERROR(LEFT(L36,FIND("(",L36)-1),L36)),Y35)</f>
        <v/>
      </c>
      <c r="Z36" s="10" t="str">
        <f aca="false">IF(N36&lt;&gt;"",TRIM(IFERROR(LEFT(N36,FIND("(",N36)-1),N36)),Z35)</f>
        <v/>
      </c>
      <c r="AA36" s="10" t="str">
        <f aca="false">IF(P36&lt;&gt;"",TRIM(IFERROR(LEFT(P36,FIND("(",P36)-1),P36)),AA35)</f>
        <v/>
      </c>
      <c r="AD36" s="10" t="str">
        <f aca="false">IF(C36="","",IF(T36="","(sin responsabilidad)",T36))</f>
        <v/>
      </c>
      <c r="AE36" s="10" t="str">
        <f aca="false">IF(E36="","",IF(U36="","(sin responsabilidad)",U36))</f>
        <v/>
      </c>
      <c r="AF36" s="10" t="str">
        <f aca="false">IF(G36="","",IF(V36="","(sin responsabilidad)",V36))</f>
        <v/>
      </c>
      <c r="AG36" s="10" t="str">
        <f aca="false">IF(I36="","",IF(W36="","(sin responsabilidad)",W36))</f>
        <v/>
      </c>
      <c r="AH36" s="10" t="str">
        <f aca="false">IF(K36="","",IF(X36="","(sin responsabilidad)",X36))</f>
        <v/>
      </c>
      <c r="AI36" s="10" t="str">
        <f aca="false">IF(M36="","",IF(Y36="","(sin responsabilidad)",Y36))</f>
        <v/>
      </c>
      <c r="AJ36" s="10" t="str">
        <f aca="false">IF(O36="","",IF(Z36="","(sin responsabilidad)",Z36))</f>
        <v/>
      </c>
      <c r="AK36" s="10" t="str">
        <f aca="false">IF(Q36="","",IF(AA36="","(sin responsabilidad)",AA36))</f>
        <v/>
      </c>
      <c r="AN36" s="10" t="str">
        <f aca="false">IF(C36="","",TRIM(IFERROR(LEFT(C36,FIND("(",C36)-1),C36)))</f>
        <v/>
      </c>
      <c r="AO36" s="10" t="str">
        <f aca="false">IF(E36="","",TRIM(IFERROR(LEFT(E36,FIND("(",E36)-1),E36)))</f>
        <v/>
      </c>
      <c r="AP36" s="10" t="str">
        <f aca="false">IF(G36="","",TRIM(IFERROR(LEFT(G36,FIND("(",G36)-1),G36)))</f>
        <v/>
      </c>
      <c r="AQ36" s="10" t="str">
        <f aca="false">IF(I36="","",TRIM(IFERROR(LEFT(I36,FIND("(",I36)-1),I36)))</f>
        <v/>
      </c>
      <c r="AR36" s="10" t="str">
        <f aca="false">IF(K36="","",TRIM(IFERROR(LEFT(K36,FIND("(",K36)-1),K36)))</f>
        <v/>
      </c>
      <c r="AS36" s="10" t="str">
        <f aca="false">IF(M36="","",TRIM(IFERROR(LEFT(M36,FIND("(",M36)-1),M36)))</f>
        <v/>
      </c>
      <c r="AT36" s="10" t="str">
        <f aca="false">IF(O36="","",TRIM(IFERROR(LEFT(O36,FIND("(",O36)-1),O36)))</f>
        <v/>
      </c>
      <c r="AU36" s="10" t="str">
        <f aca="false">IF(Q36="","",TRIM(IFERROR(LEFT(Q36,FIND("(",Q36)-1),Q36)))</f>
        <v/>
      </c>
    </row>
    <row r="37" customFormat="false" ht="15" hidden="false" customHeight="false" outlineLevel="0" collapsed="false">
      <c r="A37" s="14" t="n">
        <v>23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T37" s="10" t="str">
        <f aca="false">IF(B37&lt;&gt;"",TRIM(IFERROR(LEFT(B37,FIND("(",B37)-1),B37)),T36)</f>
        <v/>
      </c>
      <c r="U37" s="10" t="str">
        <f aca="false">IF(D37&lt;&gt;"",TRIM(IFERROR(LEFT(D37,FIND("(",D37)-1),D37)),U36)</f>
        <v/>
      </c>
      <c r="V37" s="10" t="str">
        <f aca="false">IF(F37&lt;&gt;"",TRIM(IFERROR(LEFT(F37,FIND("(",F37)-1),F37)),V36)</f>
        <v/>
      </c>
      <c r="W37" s="10" t="str">
        <f aca="false">IF(H37&lt;&gt;"",TRIM(IFERROR(LEFT(H37,FIND("(",H37)-1),H37)),W36)</f>
        <v/>
      </c>
      <c r="X37" s="10" t="str">
        <f aca="false">IF(J37&lt;&gt;"",TRIM(IFERROR(LEFT(J37,FIND("(",J37)-1),J37)),X36)</f>
        <v/>
      </c>
      <c r="Y37" s="10" t="str">
        <f aca="false">IF(L37&lt;&gt;"",TRIM(IFERROR(LEFT(L37,FIND("(",L37)-1),L37)),Y36)</f>
        <v/>
      </c>
      <c r="Z37" s="10" t="str">
        <f aca="false">IF(N37&lt;&gt;"",TRIM(IFERROR(LEFT(N37,FIND("(",N37)-1),N37)),Z36)</f>
        <v/>
      </c>
      <c r="AA37" s="10" t="str">
        <f aca="false">IF(P37&lt;&gt;"",TRIM(IFERROR(LEFT(P37,FIND("(",P37)-1),P37)),AA36)</f>
        <v/>
      </c>
      <c r="AD37" s="10" t="str">
        <f aca="false">IF(C37="","",IF(T37="","(sin responsabilidad)",T37))</f>
        <v/>
      </c>
      <c r="AE37" s="10" t="str">
        <f aca="false">IF(E37="","",IF(U37="","(sin responsabilidad)",U37))</f>
        <v/>
      </c>
      <c r="AF37" s="10" t="str">
        <f aca="false">IF(G37="","",IF(V37="","(sin responsabilidad)",V37))</f>
        <v/>
      </c>
      <c r="AG37" s="10" t="str">
        <f aca="false">IF(I37="","",IF(W37="","(sin responsabilidad)",W37))</f>
        <v/>
      </c>
      <c r="AH37" s="10" t="str">
        <f aca="false">IF(K37="","",IF(X37="","(sin responsabilidad)",X37))</f>
        <v/>
      </c>
      <c r="AI37" s="10" t="str">
        <f aca="false">IF(M37="","",IF(Y37="","(sin responsabilidad)",Y37))</f>
        <v/>
      </c>
      <c r="AJ37" s="10" t="str">
        <f aca="false">IF(O37="","",IF(Z37="","(sin responsabilidad)",Z37))</f>
        <v/>
      </c>
      <c r="AK37" s="10" t="str">
        <f aca="false">IF(Q37="","",IF(AA37="","(sin responsabilidad)",AA37))</f>
        <v/>
      </c>
      <c r="AN37" s="10" t="str">
        <f aca="false">IF(C37="","",TRIM(IFERROR(LEFT(C37,FIND("(",C37)-1),C37)))</f>
        <v/>
      </c>
      <c r="AO37" s="10" t="str">
        <f aca="false">IF(E37="","",TRIM(IFERROR(LEFT(E37,FIND("(",E37)-1),E37)))</f>
        <v/>
      </c>
      <c r="AP37" s="10" t="str">
        <f aca="false">IF(G37="","",TRIM(IFERROR(LEFT(G37,FIND("(",G37)-1),G37)))</f>
        <v/>
      </c>
      <c r="AQ37" s="10" t="str">
        <f aca="false">IF(I37="","",TRIM(IFERROR(LEFT(I37,FIND("(",I37)-1),I37)))</f>
        <v/>
      </c>
      <c r="AR37" s="10" t="str">
        <f aca="false">IF(K37="","",TRIM(IFERROR(LEFT(K37,FIND("(",K37)-1),K37)))</f>
        <v/>
      </c>
      <c r="AS37" s="10" t="str">
        <f aca="false">IF(M37="","",TRIM(IFERROR(LEFT(M37,FIND("(",M37)-1),M37)))</f>
        <v/>
      </c>
      <c r="AT37" s="10" t="str">
        <f aca="false">IF(O37="","",TRIM(IFERROR(LEFT(O37,FIND("(",O37)-1),O37)))</f>
        <v/>
      </c>
      <c r="AU37" s="10" t="str">
        <f aca="false">IF(Q37="","",TRIM(IFERROR(LEFT(Q37,FIND("(",Q37)-1),Q37)))</f>
        <v/>
      </c>
    </row>
    <row r="38" customFormat="false" ht="15" hidden="false" customHeight="false" outlineLevel="0" collapsed="false">
      <c r="A38" s="14" t="n">
        <v>24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T38" s="10" t="str">
        <f aca="false">IF(B38&lt;&gt;"",TRIM(IFERROR(LEFT(B38,FIND("(",B38)-1),B38)),T37)</f>
        <v/>
      </c>
      <c r="U38" s="10" t="str">
        <f aca="false">IF(D38&lt;&gt;"",TRIM(IFERROR(LEFT(D38,FIND("(",D38)-1),D38)),U37)</f>
        <v/>
      </c>
      <c r="V38" s="10" t="str">
        <f aca="false">IF(F38&lt;&gt;"",TRIM(IFERROR(LEFT(F38,FIND("(",F38)-1),F38)),V37)</f>
        <v/>
      </c>
      <c r="W38" s="10" t="str">
        <f aca="false">IF(H38&lt;&gt;"",TRIM(IFERROR(LEFT(H38,FIND("(",H38)-1),H38)),W37)</f>
        <v/>
      </c>
      <c r="X38" s="10" t="str">
        <f aca="false">IF(J38&lt;&gt;"",TRIM(IFERROR(LEFT(J38,FIND("(",J38)-1),J38)),X37)</f>
        <v/>
      </c>
      <c r="Y38" s="10" t="str">
        <f aca="false">IF(L38&lt;&gt;"",TRIM(IFERROR(LEFT(L38,FIND("(",L38)-1),L38)),Y37)</f>
        <v/>
      </c>
      <c r="Z38" s="10" t="str">
        <f aca="false">IF(N38&lt;&gt;"",TRIM(IFERROR(LEFT(N38,FIND("(",N38)-1),N38)),Z37)</f>
        <v/>
      </c>
      <c r="AA38" s="10" t="str">
        <f aca="false">IF(P38&lt;&gt;"",TRIM(IFERROR(LEFT(P38,FIND("(",P38)-1),P38)),AA37)</f>
        <v/>
      </c>
      <c r="AD38" s="10" t="str">
        <f aca="false">IF(C38="","",IF(T38="","(sin responsabilidad)",T38))</f>
        <v/>
      </c>
      <c r="AE38" s="10" t="str">
        <f aca="false">IF(E38="","",IF(U38="","(sin responsabilidad)",U38))</f>
        <v/>
      </c>
      <c r="AF38" s="10" t="str">
        <f aca="false">IF(G38="","",IF(V38="","(sin responsabilidad)",V38))</f>
        <v/>
      </c>
      <c r="AG38" s="10" t="str">
        <f aca="false">IF(I38="","",IF(W38="","(sin responsabilidad)",W38))</f>
        <v/>
      </c>
      <c r="AH38" s="10" t="str">
        <f aca="false">IF(K38="","",IF(X38="","(sin responsabilidad)",X38))</f>
        <v/>
      </c>
      <c r="AI38" s="10" t="str">
        <f aca="false">IF(M38="","",IF(Y38="","(sin responsabilidad)",Y38))</f>
        <v/>
      </c>
      <c r="AJ38" s="10" t="str">
        <f aca="false">IF(O38="","",IF(Z38="","(sin responsabilidad)",Z38))</f>
        <v/>
      </c>
      <c r="AK38" s="10" t="str">
        <f aca="false">IF(Q38="","",IF(AA38="","(sin responsabilidad)",AA38))</f>
        <v/>
      </c>
      <c r="AN38" s="10" t="str">
        <f aca="false">IF(C38="","",TRIM(IFERROR(LEFT(C38,FIND("(",C38)-1),C38)))</f>
        <v/>
      </c>
      <c r="AO38" s="10" t="str">
        <f aca="false">IF(E38="","",TRIM(IFERROR(LEFT(E38,FIND("(",E38)-1),E38)))</f>
        <v/>
      </c>
      <c r="AP38" s="10" t="str">
        <f aca="false">IF(G38="","",TRIM(IFERROR(LEFT(G38,FIND("(",G38)-1),G38)))</f>
        <v/>
      </c>
      <c r="AQ38" s="10" t="str">
        <f aca="false">IF(I38="","",TRIM(IFERROR(LEFT(I38,FIND("(",I38)-1),I38)))</f>
        <v/>
      </c>
      <c r="AR38" s="10" t="str">
        <f aca="false">IF(K38="","",TRIM(IFERROR(LEFT(K38,FIND("(",K38)-1),K38)))</f>
        <v/>
      </c>
      <c r="AS38" s="10" t="str">
        <f aca="false">IF(M38="","",TRIM(IFERROR(LEFT(M38,FIND("(",M38)-1),M38)))</f>
        <v/>
      </c>
      <c r="AT38" s="10" t="str">
        <f aca="false">IF(O38="","",TRIM(IFERROR(LEFT(O38,FIND("(",O38)-1),O38)))</f>
        <v/>
      </c>
      <c r="AU38" s="10" t="str">
        <f aca="false">IF(Q38="","",TRIM(IFERROR(LEFT(Q38,FIND("(",Q38)-1),Q38)))</f>
        <v/>
      </c>
    </row>
    <row r="39" customFormat="false" ht="15" hidden="false" customHeight="false" outlineLevel="0" collapsed="false">
      <c r="A39" s="14" t="n">
        <v>25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T39" s="10" t="str">
        <f aca="false">IF(B39&lt;&gt;"",TRIM(IFERROR(LEFT(B39,FIND("(",B39)-1),B39)),T38)</f>
        <v/>
      </c>
      <c r="U39" s="10" t="str">
        <f aca="false">IF(D39&lt;&gt;"",TRIM(IFERROR(LEFT(D39,FIND("(",D39)-1),D39)),U38)</f>
        <v/>
      </c>
      <c r="V39" s="10" t="str">
        <f aca="false">IF(F39&lt;&gt;"",TRIM(IFERROR(LEFT(F39,FIND("(",F39)-1),F39)),V38)</f>
        <v/>
      </c>
      <c r="W39" s="10" t="str">
        <f aca="false">IF(H39&lt;&gt;"",TRIM(IFERROR(LEFT(H39,FIND("(",H39)-1),H39)),W38)</f>
        <v/>
      </c>
      <c r="X39" s="10" t="str">
        <f aca="false">IF(J39&lt;&gt;"",TRIM(IFERROR(LEFT(J39,FIND("(",J39)-1),J39)),X38)</f>
        <v/>
      </c>
      <c r="Y39" s="10" t="str">
        <f aca="false">IF(L39&lt;&gt;"",TRIM(IFERROR(LEFT(L39,FIND("(",L39)-1),L39)),Y38)</f>
        <v/>
      </c>
      <c r="Z39" s="10" t="str">
        <f aca="false">IF(N39&lt;&gt;"",TRIM(IFERROR(LEFT(N39,FIND("(",N39)-1),N39)),Z38)</f>
        <v/>
      </c>
      <c r="AA39" s="10" t="str">
        <f aca="false">IF(P39&lt;&gt;"",TRIM(IFERROR(LEFT(P39,FIND("(",P39)-1),P39)),AA38)</f>
        <v/>
      </c>
      <c r="AD39" s="10" t="str">
        <f aca="false">IF(C39="","",IF(T39="","(sin responsabilidad)",T39))</f>
        <v/>
      </c>
      <c r="AE39" s="10" t="str">
        <f aca="false">IF(E39="","",IF(U39="","(sin responsabilidad)",U39))</f>
        <v/>
      </c>
      <c r="AF39" s="10" t="str">
        <f aca="false">IF(G39="","",IF(V39="","(sin responsabilidad)",V39))</f>
        <v/>
      </c>
      <c r="AG39" s="10" t="str">
        <f aca="false">IF(I39="","",IF(W39="","(sin responsabilidad)",W39))</f>
        <v/>
      </c>
      <c r="AH39" s="10" t="str">
        <f aca="false">IF(K39="","",IF(X39="","(sin responsabilidad)",X39))</f>
        <v/>
      </c>
      <c r="AI39" s="10" t="str">
        <f aca="false">IF(M39="","",IF(Y39="","(sin responsabilidad)",Y39))</f>
        <v/>
      </c>
      <c r="AJ39" s="10" t="str">
        <f aca="false">IF(O39="","",IF(Z39="","(sin responsabilidad)",Z39))</f>
        <v/>
      </c>
      <c r="AK39" s="10" t="str">
        <f aca="false">IF(Q39="","",IF(AA39="","(sin responsabilidad)",AA39))</f>
        <v/>
      </c>
      <c r="AN39" s="10" t="str">
        <f aca="false">IF(C39="","",TRIM(IFERROR(LEFT(C39,FIND("(",C39)-1),C39)))</f>
        <v/>
      </c>
      <c r="AO39" s="10" t="str">
        <f aca="false">IF(E39="","",TRIM(IFERROR(LEFT(E39,FIND("(",E39)-1),E39)))</f>
        <v/>
      </c>
      <c r="AP39" s="10" t="str">
        <f aca="false">IF(G39="","",TRIM(IFERROR(LEFT(G39,FIND("(",G39)-1),G39)))</f>
        <v/>
      </c>
      <c r="AQ39" s="10" t="str">
        <f aca="false">IF(I39="","",TRIM(IFERROR(LEFT(I39,FIND("(",I39)-1),I39)))</f>
        <v/>
      </c>
      <c r="AR39" s="10" t="str">
        <f aca="false">IF(K39="","",TRIM(IFERROR(LEFT(K39,FIND("(",K39)-1),K39)))</f>
        <v/>
      </c>
      <c r="AS39" s="10" t="str">
        <f aca="false">IF(M39="","",TRIM(IFERROR(LEFT(M39,FIND("(",M39)-1),M39)))</f>
        <v/>
      </c>
      <c r="AT39" s="10" t="str">
        <f aca="false">IF(O39="","",TRIM(IFERROR(LEFT(O39,FIND("(",O39)-1),O39)))</f>
        <v/>
      </c>
      <c r="AU39" s="10" t="str">
        <f aca="false">IF(Q39="","",TRIM(IFERROR(LEFT(Q39,FIND("(",Q39)-1),Q39)))</f>
        <v/>
      </c>
    </row>
    <row r="40" customFormat="false" ht="15" hidden="false" customHeight="false" outlineLevel="0" collapsed="false">
      <c r="A40" s="14" t="n">
        <v>26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T40" s="10" t="str">
        <f aca="false">IF(B40&lt;&gt;"",TRIM(IFERROR(LEFT(B40,FIND("(",B40)-1),B40)),T39)</f>
        <v/>
      </c>
      <c r="U40" s="10" t="str">
        <f aca="false">IF(D40&lt;&gt;"",TRIM(IFERROR(LEFT(D40,FIND("(",D40)-1),D40)),U39)</f>
        <v/>
      </c>
      <c r="V40" s="10" t="str">
        <f aca="false">IF(F40&lt;&gt;"",TRIM(IFERROR(LEFT(F40,FIND("(",F40)-1),F40)),V39)</f>
        <v/>
      </c>
      <c r="W40" s="10" t="str">
        <f aca="false">IF(H40&lt;&gt;"",TRIM(IFERROR(LEFT(H40,FIND("(",H40)-1),H40)),W39)</f>
        <v/>
      </c>
      <c r="X40" s="10" t="str">
        <f aca="false">IF(J40&lt;&gt;"",TRIM(IFERROR(LEFT(J40,FIND("(",J40)-1),J40)),X39)</f>
        <v/>
      </c>
      <c r="Y40" s="10" t="str">
        <f aca="false">IF(L40&lt;&gt;"",TRIM(IFERROR(LEFT(L40,FIND("(",L40)-1),L40)),Y39)</f>
        <v/>
      </c>
      <c r="Z40" s="10" t="str">
        <f aca="false">IF(N40&lt;&gt;"",TRIM(IFERROR(LEFT(N40,FIND("(",N40)-1),N40)),Z39)</f>
        <v/>
      </c>
      <c r="AA40" s="10" t="str">
        <f aca="false">IF(P40&lt;&gt;"",TRIM(IFERROR(LEFT(P40,FIND("(",P40)-1),P40)),AA39)</f>
        <v/>
      </c>
      <c r="AD40" s="10" t="str">
        <f aca="false">IF(C40="","",IF(T40="","(sin responsabilidad)",T40))</f>
        <v/>
      </c>
      <c r="AE40" s="10" t="str">
        <f aca="false">IF(E40="","",IF(U40="","(sin responsabilidad)",U40))</f>
        <v/>
      </c>
      <c r="AF40" s="10" t="str">
        <f aca="false">IF(G40="","",IF(V40="","(sin responsabilidad)",V40))</f>
        <v/>
      </c>
      <c r="AG40" s="10" t="str">
        <f aca="false">IF(I40="","",IF(W40="","(sin responsabilidad)",W40))</f>
        <v/>
      </c>
      <c r="AH40" s="10" t="str">
        <f aca="false">IF(K40="","",IF(X40="","(sin responsabilidad)",X40))</f>
        <v/>
      </c>
      <c r="AI40" s="10" t="str">
        <f aca="false">IF(M40="","",IF(Y40="","(sin responsabilidad)",Y40))</f>
        <v/>
      </c>
      <c r="AJ40" s="10" t="str">
        <f aca="false">IF(O40="","",IF(Z40="","(sin responsabilidad)",Z40))</f>
        <v/>
      </c>
      <c r="AK40" s="10" t="str">
        <f aca="false">IF(Q40="","",IF(AA40="","(sin responsabilidad)",AA40))</f>
        <v/>
      </c>
      <c r="AN40" s="10" t="str">
        <f aca="false">IF(C40="","",TRIM(IFERROR(LEFT(C40,FIND("(",C40)-1),C40)))</f>
        <v/>
      </c>
      <c r="AO40" s="10" t="str">
        <f aca="false">IF(E40="","",TRIM(IFERROR(LEFT(E40,FIND("(",E40)-1),E40)))</f>
        <v/>
      </c>
      <c r="AP40" s="10" t="str">
        <f aca="false">IF(G40="","",TRIM(IFERROR(LEFT(G40,FIND("(",G40)-1),G40)))</f>
        <v/>
      </c>
      <c r="AQ40" s="10" t="str">
        <f aca="false">IF(I40="","",TRIM(IFERROR(LEFT(I40,FIND("(",I40)-1),I40)))</f>
        <v/>
      </c>
      <c r="AR40" s="10" t="str">
        <f aca="false">IF(K40="","",TRIM(IFERROR(LEFT(K40,FIND("(",K40)-1),K40)))</f>
        <v/>
      </c>
      <c r="AS40" s="10" t="str">
        <f aca="false">IF(M40="","",TRIM(IFERROR(LEFT(M40,FIND("(",M40)-1),M40)))</f>
        <v/>
      </c>
      <c r="AT40" s="10" t="str">
        <f aca="false">IF(O40="","",TRIM(IFERROR(LEFT(O40,FIND("(",O40)-1),O40)))</f>
        <v/>
      </c>
      <c r="AU40" s="10" t="str">
        <f aca="false">IF(Q40="","",TRIM(IFERROR(LEFT(Q40,FIND("(",Q40)-1),Q40)))</f>
        <v/>
      </c>
    </row>
    <row r="41" customFormat="false" ht="15" hidden="false" customHeight="false" outlineLevel="0" collapsed="false">
      <c r="A41" s="14" t="n">
        <v>27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T41" s="10" t="str">
        <f aca="false">IF(B41&lt;&gt;"",TRIM(IFERROR(LEFT(B41,FIND("(",B41)-1),B41)),T40)</f>
        <v/>
      </c>
      <c r="U41" s="10" t="str">
        <f aca="false">IF(D41&lt;&gt;"",TRIM(IFERROR(LEFT(D41,FIND("(",D41)-1),D41)),U40)</f>
        <v/>
      </c>
      <c r="V41" s="10" t="str">
        <f aca="false">IF(F41&lt;&gt;"",TRIM(IFERROR(LEFT(F41,FIND("(",F41)-1),F41)),V40)</f>
        <v/>
      </c>
      <c r="W41" s="10" t="str">
        <f aca="false">IF(H41&lt;&gt;"",TRIM(IFERROR(LEFT(H41,FIND("(",H41)-1),H41)),W40)</f>
        <v/>
      </c>
      <c r="X41" s="10" t="str">
        <f aca="false">IF(J41&lt;&gt;"",TRIM(IFERROR(LEFT(J41,FIND("(",J41)-1),J41)),X40)</f>
        <v/>
      </c>
      <c r="Y41" s="10" t="str">
        <f aca="false">IF(L41&lt;&gt;"",TRIM(IFERROR(LEFT(L41,FIND("(",L41)-1),L41)),Y40)</f>
        <v/>
      </c>
      <c r="Z41" s="10" t="str">
        <f aca="false">IF(N41&lt;&gt;"",TRIM(IFERROR(LEFT(N41,FIND("(",N41)-1),N41)),Z40)</f>
        <v/>
      </c>
      <c r="AA41" s="10" t="str">
        <f aca="false">IF(P41&lt;&gt;"",TRIM(IFERROR(LEFT(P41,FIND("(",P41)-1),P41)),AA40)</f>
        <v/>
      </c>
      <c r="AD41" s="10" t="str">
        <f aca="false">IF(C41="","",IF(T41="","(sin responsabilidad)",T41))</f>
        <v/>
      </c>
      <c r="AE41" s="10" t="str">
        <f aca="false">IF(E41="","",IF(U41="","(sin responsabilidad)",U41))</f>
        <v/>
      </c>
      <c r="AF41" s="10" t="str">
        <f aca="false">IF(G41="","",IF(V41="","(sin responsabilidad)",V41))</f>
        <v/>
      </c>
      <c r="AG41" s="10" t="str">
        <f aca="false">IF(I41="","",IF(W41="","(sin responsabilidad)",W41))</f>
        <v/>
      </c>
      <c r="AH41" s="10" t="str">
        <f aca="false">IF(K41="","",IF(X41="","(sin responsabilidad)",X41))</f>
        <v/>
      </c>
      <c r="AI41" s="10" t="str">
        <f aca="false">IF(M41="","",IF(Y41="","(sin responsabilidad)",Y41))</f>
        <v/>
      </c>
      <c r="AJ41" s="10" t="str">
        <f aca="false">IF(O41="","",IF(Z41="","(sin responsabilidad)",Z41))</f>
        <v/>
      </c>
      <c r="AK41" s="10" t="str">
        <f aca="false">IF(Q41="","",IF(AA41="","(sin responsabilidad)",AA41))</f>
        <v/>
      </c>
      <c r="AN41" s="10" t="str">
        <f aca="false">IF(C41="","",TRIM(IFERROR(LEFT(C41,FIND("(",C41)-1),C41)))</f>
        <v/>
      </c>
      <c r="AO41" s="10" t="str">
        <f aca="false">IF(E41="","",TRIM(IFERROR(LEFT(E41,FIND("(",E41)-1),E41)))</f>
        <v/>
      </c>
      <c r="AP41" s="10" t="str">
        <f aca="false">IF(G41="","",TRIM(IFERROR(LEFT(G41,FIND("(",G41)-1),G41)))</f>
        <v/>
      </c>
      <c r="AQ41" s="10" t="str">
        <f aca="false">IF(I41="","",TRIM(IFERROR(LEFT(I41,FIND("(",I41)-1),I41)))</f>
        <v/>
      </c>
      <c r="AR41" s="10" t="str">
        <f aca="false">IF(K41="","",TRIM(IFERROR(LEFT(K41,FIND("(",K41)-1),K41)))</f>
        <v/>
      </c>
      <c r="AS41" s="10" t="str">
        <f aca="false">IF(M41="","",TRIM(IFERROR(LEFT(M41,FIND("(",M41)-1),M41)))</f>
        <v/>
      </c>
      <c r="AT41" s="10" t="str">
        <f aca="false">IF(O41="","",TRIM(IFERROR(LEFT(O41,FIND("(",O41)-1),O41)))</f>
        <v/>
      </c>
      <c r="AU41" s="10" t="str">
        <f aca="false">IF(Q41="","",TRIM(IFERROR(LEFT(Q41,FIND("(",Q41)-1),Q41)))</f>
        <v/>
      </c>
    </row>
    <row r="42" customFormat="false" ht="15" hidden="false" customHeight="false" outlineLevel="0" collapsed="false">
      <c r="A42" s="14" t="n">
        <v>28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T42" s="10" t="str">
        <f aca="false">IF(B42&lt;&gt;"",TRIM(IFERROR(LEFT(B42,FIND("(",B42)-1),B42)),T41)</f>
        <v/>
      </c>
      <c r="U42" s="10" t="str">
        <f aca="false">IF(D42&lt;&gt;"",TRIM(IFERROR(LEFT(D42,FIND("(",D42)-1),D42)),U41)</f>
        <v/>
      </c>
      <c r="V42" s="10" t="str">
        <f aca="false">IF(F42&lt;&gt;"",TRIM(IFERROR(LEFT(F42,FIND("(",F42)-1),F42)),V41)</f>
        <v/>
      </c>
      <c r="W42" s="10" t="str">
        <f aca="false">IF(H42&lt;&gt;"",TRIM(IFERROR(LEFT(H42,FIND("(",H42)-1),H42)),W41)</f>
        <v/>
      </c>
      <c r="X42" s="10" t="str">
        <f aca="false">IF(J42&lt;&gt;"",TRIM(IFERROR(LEFT(J42,FIND("(",J42)-1),J42)),X41)</f>
        <v/>
      </c>
      <c r="Y42" s="10" t="str">
        <f aca="false">IF(L42&lt;&gt;"",TRIM(IFERROR(LEFT(L42,FIND("(",L42)-1),L42)),Y41)</f>
        <v/>
      </c>
      <c r="Z42" s="10" t="str">
        <f aca="false">IF(N42&lt;&gt;"",TRIM(IFERROR(LEFT(N42,FIND("(",N42)-1),N42)),Z41)</f>
        <v/>
      </c>
      <c r="AA42" s="10" t="str">
        <f aca="false">IF(P42&lt;&gt;"",TRIM(IFERROR(LEFT(P42,FIND("(",P42)-1),P42)),AA41)</f>
        <v/>
      </c>
      <c r="AD42" s="10" t="str">
        <f aca="false">IF(C42="","",IF(T42="","(sin responsabilidad)",T42))</f>
        <v/>
      </c>
      <c r="AE42" s="10" t="str">
        <f aca="false">IF(E42="","",IF(U42="","(sin responsabilidad)",U42))</f>
        <v/>
      </c>
      <c r="AF42" s="10" t="str">
        <f aca="false">IF(G42="","",IF(V42="","(sin responsabilidad)",V42))</f>
        <v/>
      </c>
      <c r="AG42" s="10" t="str">
        <f aca="false">IF(I42="","",IF(W42="","(sin responsabilidad)",W42))</f>
        <v/>
      </c>
      <c r="AH42" s="10" t="str">
        <f aca="false">IF(K42="","",IF(X42="","(sin responsabilidad)",X42))</f>
        <v/>
      </c>
      <c r="AI42" s="10" t="str">
        <f aca="false">IF(M42="","",IF(Y42="","(sin responsabilidad)",Y42))</f>
        <v/>
      </c>
      <c r="AJ42" s="10" t="str">
        <f aca="false">IF(O42="","",IF(Z42="","(sin responsabilidad)",Z42))</f>
        <v/>
      </c>
      <c r="AK42" s="10" t="str">
        <f aca="false">IF(Q42="","",IF(AA42="","(sin responsabilidad)",AA42))</f>
        <v/>
      </c>
      <c r="AN42" s="10" t="str">
        <f aca="false">IF(C42="","",TRIM(IFERROR(LEFT(C42,FIND("(",C42)-1),C42)))</f>
        <v/>
      </c>
      <c r="AO42" s="10" t="str">
        <f aca="false">IF(E42="","",TRIM(IFERROR(LEFT(E42,FIND("(",E42)-1),E42)))</f>
        <v/>
      </c>
      <c r="AP42" s="10" t="str">
        <f aca="false">IF(G42="","",TRIM(IFERROR(LEFT(G42,FIND("(",G42)-1),G42)))</f>
        <v/>
      </c>
      <c r="AQ42" s="10" t="str">
        <f aca="false">IF(I42="","",TRIM(IFERROR(LEFT(I42,FIND("(",I42)-1),I42)))</f>
        <v/>
      </c>
      <c r="AR42" s="10" t="str">
        <f aca="false">IF(K42="","",TRIM(IFERROR(LEFT(K42,FIND("(",K42)-1),K42)))</f>
        <v/>
      </c>
      <c r="AS42" s="10" t="str">
        <f aca="false">IF(M42="","",TRIM(IFERROR(LEFT(M42,FIND("(",M42)-1),M42)))</f>
        <v/>
      </c>
      <c r="AT42" s="10" t="str">
        <f aca="false">IF(O42="","",TRIM(IFERROR(LEFT(O42,FIND("(",O42)-1),O42)))</f>
        <v/>
      </c>
      <c r="AU42" s="10" t="str">
        <f aca="false">IF(Q42="","",TRIM(IFERROR(LEFT(Q42,FIND("(",Q42)-1),Q42)))</f>
        <v/>
      </c>
    </row>
    <row r="43" customFormat="false" ht="15" hidden="false" customHeight="false" outlineLevel="0" collapsed="false">
      <c r="A43" s="14" t="n">
        <v>29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T43" s="10" t="str">
        <f aca="false">IF(B43&lt;&gt;"",TRIM(IFERROR(LEFT(B43,FIND("(",B43)-1),B43)),T42)</f>
        <v/>
      </c>
      <c r="U43" s="10" t="str">
        <f aca="false">IF(D43&lt;&gt;"",TRIM(IFERROR(LEFT(D43,FIND("(",D43)-1),D43)),U42)</f>
        <v/>
      </c>
      <c r="V43" s="10" t="str">
        <f aca="false">IF(F43&lt;&gt;"",TRIM(IFERROR(LEFT(F43,FIND("(",F43)-1),F43)),V42)</f>
        <v/>
      </c>
      <c r="W43" s="10" t="str">
        <f aca="false">IF(H43&lt;&gt;"",TRIM(IFERROR(LEFT(H43,FIND("(",H43)-1),H43)),W42)</f>
        <v/>
      </c>
      <c r="X43" s="10" t="str">
        <f aca="false">IF(J43&lt;&gt;"",TRIM(IFERROR(LEFT(J43,FIND("(",J43)-1),J43)),X42)</f>
        <v/>
      </c>
      <c r="Y43" s="10" t="str">
        <f aca="false">IF(L43&lt;&gt;"",TRIM(IFERROR(LEFT(L43,FIND("(",L43)-1),L43)),Y42)</f>
        <v/>
      </c>
      <c r="Z43" s="10" t="str">
        <f aca="false">IF(N43&lt;&gt;"",TRIM(IFERROR(LEFT(N43,FIND("(",N43)-1),N43)),Z42)</f>
        <v/>
      </c>
      <c r="AA43" s="10" t="str">
        <f aca="false">IF(P43&lt;&gt;"",TRIM(IFERROR(LEFT(P43,FIND("(",P43)-1),P43)),AA42)</f>
        <v/>
      </c>
      <c r="AD43" s="10" t="str">
        <f aca="false">IF(C43="","",IF(T43="","(sin responsabilidad)",T43))</f>
        <v/>
      </c>
      <c r="AE43" s="10" t="str">
        <f aca="false">IF(E43="","",IF(U43="","(sin responsabilidad)",U43))</f>
        <v/>
      </c>
      <c r="AF43" s="10" t="str">
        <f aca="false">IF(G43="","",IF(V43="","(sin responsabilidad)",V43))</f>
        <v/>
      </c>
      <c r="AG43" s="10" t="str">
        <f aca="false">IF(I43="","",IF(W43="","(sin responsabilidad)",W43))</f>
        <v/>
      </c>
      <c r="AH43" s="10" t="str">
        <f aca="false">IF(K43="","",IF(X43="","(sin responsabilidad)",X43))</f>
        <v/>
      </c>
      <c r="AI43" s="10" t="str">
        <f aca="false">IF(M43="","",IF(Y43="","(sin responsabilidad)",Y43))</f>
        <v/>
      </c>
      <c r="AJ43" s="10" t="str">
        <f aca="false">IF(O43="","",IF(Z43="","(sin responsabilidad)",Z43))</f>
        <v/>
      </c>
      <c r="AK43" s="10" t="str">
        <f aca="false">IF(Q43="","",IF(AA43="","(sin responsabilidad)",AA43))</f>
        <v/>
      </c>
      <c r="AN43" s="10" t="str">
        <f aca="false">IF(C43="","",TRIM(IFERROR(LEFT(C43,FIND("(",C43)-1),C43)))</f>
        <v/>
      </c>
      <c r="AO43" s="10" t="str">
        <f aca="false">IF(E43="","",TRIM(IFERROR(LEFT(E43,FIND("(",E43)-1),E43)))</f>
        <v/>
      </c>
      <c r="AP43" s="10" t="str">
        <f aca="false">IF(G43="","",TRIM(IFERROR(LEFT(G43,FIND("(",G43)-1),G43)))</f>
        <v/>
      </c>
      <c r="AQ43" s="10" t="str">
        <f aca="false">IF(I43="","",TRIM(IFERROR(LEFT(I43,FIND("(",I43)-1),I43)))</f>
        <v/>
      </c>
      <c r="AR43" s="10" t="str">
        <f aca="false">IF(K43="","",TRIM(IFERROR(LEFT(K43,FIND("(",K43)-1),K43)))</f>
        <v/>
      </c>
      <c r="AS43" s="10" t="str">
        <f aca="false">IF(M43="","",TRIM(IFERROR(LEFT(M43,FIND("(",M43)-1),M43)))</f>
        <v/>
      </c>
      <c r="AT43" s="10" t="str">
        <f aca="false">IF(O43="","",TRIM(IFERROR(LEFT(O43,FIND("(",O43)-1),O43)))</f>
        <v/>
      </c>
      <c r="AU43" s="10" t="str">
        <f aca="false">IF(Q43="","",TRIM(IFERROR(LEFT(Q43,FIND("(",Q43)-1),Q43)))</f>
        <v/>
      </c>
    </row>
    <row r="44" customFormat="false" ht="15" hidden="false" customHeight="false" outlineLevel="0" collapsed="false">
      <c r="A44" s="14" t="n">
        <v>30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T44" s="10" t="str">
        <f aca="false">IF(B44&lt;&gt;"",TRIM(IFERROR(LEFT(B44,FIND("(",B44)-1),B44)),T43)</f>
        <v/>
      </c>
      <c r="U44" s="10" t="str">
        <f aca="false">IF(D44&lt;&gt;"",TRIM(IFERROR(LEFT(D44,FIND("(",D44)-1),D44)),U43)</f>
        <v/>
      </c>
      <c r="V44" s="10" t="str">
        <f aca="false">IF(F44&lt;&gt;"",TRIM(IFERROR(LEFT(F44,FIND("(",F44)-1),F44)),V43)</f>
        <v/>
      </c>
      <c r="W44" s="10" t="str">
        <f aca="false">IF(H44&lt;&gt;"",TRIM(IFERROR(LEFT(H44,FIND("(",H44)-1),H44)),W43)</f>
        <v/>
      </c>
      <c r="X44" s="10" t="str">
        <f aca="false">IF(J44&lt;&gt;"",TRIM(IFERROR(LEFT(J44,FIND("(",J44)-1),J44)),X43)</f>
        <v/>
      </c>
      <c r="Y44" s="10" t="str">
        <f aca="false">IF(L44&lt;&gt;"",TRIM(IFERROR(LEFT(L44,FIND("(",L44)-1),L44)),Y43)</f>
        <v/>
      </c>
      <c r="Z44" s="10" t="str">
        <f aca="false">IF(N44&lt;&gt;"",TRIM(IFERROR(LEFT(N44,FIND("(",N44)-1),N44)),Z43)</f>
        <v/>
      </c>
      <c r="AA44" s="10" t="str">
        <f aca="false">IF(P44&lt;&gt;"",TRIM(IFERROR(LEFT(P44,FIND("(",P44)-1),P44)),AA43)</f>
        <v/>
      </c>
      <c r="AD44" s="10" t="str">
        <f aca="false">IF(C44="","",IF(T44="","(sin responsabilidad)",T44))</f>
        <v/>
      </c>
      <c r="AE44" s="10" t="str">
        <f aca="false">IF(E44="","",IF(U44="","(sin responsabilidad)",U44))</f>
        <v/>
      </c>
      <c r="AF44" s="10" t="str">
        <f aca="false">IF(G44="","",IF(V44="","(sin responsabilidad)",V44))</f>
        <v/>
      </c>
      <c r="AG44" s="10" t="str">
        <f aca="false">IF(I44="","",IF(W44="","(sin responsabilidad)",W44))</f>
        <v/>
      </c>
      <c r="AH44" s="10" t="str">
        <f aca="false">IF(K44="","",IF(X44="","(sin responsabilidad)",X44))</f>
        <v/>
      </c>
      <c r="AI44" s="10" t="str">
        <f aca="false">IF(M44="","",IF(Y44="","(sin responsabilidad)",Y44))</f>
        <v/>
      </c>
      <c r="AJ44" s="10" t="str">
        <f aca="false">IF(O44="","",IF(Z44="","(sin responsabilidad)",Z44))</f>
        <v/>
      </c>
      <c r="AK44" s="10" t="str">
        <f aca="false">IF(Q44="","",IF(AA44="","(sin responsabilidad)",AA44))</f>
        <v/>
      </c>
      <c r="AN44" s="10" t="str">
        <f aca="false">IF(C44="","",TRIM(IFERROR(LEFT(C44,FIND("(",C44)-1),C44)))</f>
        <v/>
      </c>
      <c r="AO44" s="10" t="str">
        <f aca="false">IF(E44="","",TRIM(IFERROR(LEFT(E44,FIND("(",E44)-1),E44)))</f>
        <v/>
      </c>
      <c r="AP44" s="10" t="str">
        <f aca="false">IF(G44="","",TRIM(IFERROR(LEFT(G44,FIND("(",G44)-1),G44)))</f>
        <v/>
      </c>
      <c r="AQ44" s="10" t="str">
        <f aca="false">IF(I44="","",TRIM(IFERROR(LEFT(I44,FIND("(",I44)-1),I44)))</f>
        <v/>
      </c>
      <c r="AR44" s="10" t="str">
        <f aca="false">IF(K44="","",TRIM(IFERROR(LEFT(K44,FIND("(",K44)-1),K44)))</f>
        <v/>
      </c>
      <c r="AS44" s="10" t="str">
        <f aca="false">IF(M44="","",TRIM(IFERROR(LEFT(M44,FIND("(",M44)-1),M44)))</f>
        <v/>
      </c>
      <c r="AT44" s="10" t="str">
        <f aca="false">IF(O44="","",TRIM(IFERROR(LEFT(O44,FIND("(",O44)-1),O44)))</f>
        <v/>
      </c>
      <c r="AU44" s="10" t="str">
        <f aca="false">IF(Q44="","",TRIM(IFERROR(LEFT(Q44,FIND("(",Q44)-1),Q44)))</f>
        <v/>
      </c>
    </row>
    <row r="45" customFormat="false" ht="15" hidden="false" customHeight="false" outlineLevel="0" collapsed="false">
      <c r="A45" s="14" t="n">
        <v>31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T45" s="10" t="str">
        <f aca="false">IF(B45&lt;&gt;"",TRIM(IFERROR(LEFT(B45,FIND("(",B45)-1),B45)),T44)</f>
        <v/>
      </c>
      <c r="U45" s="10" t="str">
        <f aca="false">IF(D45&lt;&gt;"",TRIM(IFERROR(LEFT(D45,FIND("(",D45)-1),D45)),U44)</f>
        <v/>
      </c>
      <c r="V45" s="10" t="str">
        <f aca="false">IF(F45&lt;&gt;"",TRIM(IFERROR(LEFT(F45,FIND("(",F45)-1),F45)),V44)</f>
        <v/>
      </c>
      <c r="W45" s="10" t="str">
        <f aca="false">IF(H45&lt;&gt;"",TRIM(IFERROR(LEFT(H45,FIND("(",H45)-1),H45)),W44)</f>
        <v/>
      </c>
      <c r="X45" s="10" t="str">
        <f aca="false">IF(J45&lt;&gt;"",TRIM(IFERROR(LEFT(J45,FIND("(",J45)-1),J45)),X44)</f>
        <v/>
      </c>
      <c r="Y45" s="10" t="str">
        <f aca="false">IF(L45&lt;&gt;"",TRIM(IFERROR(LEFT(L45,FIND("(",L45)-1),L45)),Y44)</f>
        <v/>
      </c>
      <c r="Z45" s="10" t="str">
        <f aca="false">IF(N45&lt;&gt;"",TRIM(IFERROR(LEFT(N45,FIND("(",N45)-1),N45)),Z44)</f>
        <v/>
      </c>
      <c r="AA45" s="10" t="str">
        <f aca="false">IF(P45&lt;&gt;"",TRIM(IFERROR(LEFT(P45,FIND("(",P45)-1),P45)),AA44)</f>
        <v/>
      </c>
      <c r="AD45" s="10" t="str">
        <f aca="false">IF(C45="","",IF(T45="","(sin responsabilidad)",T45))</f>
        <v/>
      </c>
      <c r="AE45" s="10" t="str">
        <f aca="false">IF(E45="","",IF(U45="","(sin responsabilidad)",U45))</f>
        <v/>
      </c>
      <c r="AF45" s="10" t="str">
        <f aca="false">IF(G45="","",IF(V45="","(sin responsabilidad)",V45))</f>
        <v/>
      </c>
      <c r="AG45" s="10" t="str">
        <f aca="false">IF(I45="","",IF(W45="","(sin responsabilidad)",W45))</f>
        <v/>
      </c>
      <c r="AH45" s="10" t="str">
        <f aca="false">IF(K45="","",IF(X45="","(sin responsabilidad)",X45))</f>
        <v/>
      </c>
      <c r="AI45" s="10" t="str">
        <f aca="false">IF(M45="","",IF(Y45="","(sin responsabilidad)",Y45))</f>
        <v/>
      </c>
      <c r="AJ45" s="10" t="str">
        <f aca="false">IF(O45="","",IF(Z45="","(sin responsabilidad)",Z45))</f>
        <v/>
      </c>
      <c r="AK45" s="10" t="str">
        <f aca="false">IF(Q45="","",IF(AA45="","(sin responsabilidad)",AA45))</f>
        <v/>
      </c>
      <c r="AN45" s="10" t="str">
        <f aca="false">IF(C45="","",TRIM(IFERROR(LEFT(C45,FIND("(",C45)-1),C45)))</f>
        <v/>
      </c>
      <c r="AO45" s="10" t="str">
        <f aca="false">IF(E45="","",TRIM(IFERROR(LEFT(E45,FIND("(",E45)-1),E45)))</f>
        <v/>
      </c>
      <c r="AP45" s="10" t="str">
        <f aca="false">IF(G45="","",TRIM(IFERROR(LEFT(G45,FIND("(",G45)-1),G45)))</f>
        <v/>
      </c>
      <c r="AQ45" s="10" t="str">
        <f aca="false">IF(I45="","",TRIM(IFERROR(LEFT(I45,FIND("(",I45)-1),I45)))</f>
        <v/>
      </c>
      <c r="AR45" s="10" t="str">
        <f aca="false">IF(K45="","",TRIM(IFERROR(LEFT(K45,FIND("(",K45)-1),K45)))</f>
        <v/>
      </c>
      <c r="AS45" s="10" t="str">
        <f aca="false">IF(M45="","",TRIM(IFERROR(LEFT(M45,FIND("(",M45)-1),M45)))</f>
        <v/>
      </c>
      <c r="AT45" s="10" t="str">
        <f aca="false">IF(O45="","",TRIM(IFERROR(LEFT(O45,FIND("(",O45)-1),O45)))</f>
        <v/>
      </c>
      <c r="AU45" s="10" t="str">
        <f aca="false">IF(Q45="","",TRIM(IFERROR(LEFT(Q45,FIND("(",Q45)-1),Q45)))</f>
        <v/>
      </c>
    </row>
    <row r="46" customFormat="false" ht="15" hidden="false" customHeight="false" outlineLevel="0" collapsed="false">
      <c r="A46" s="14" t="n">
        <v>32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T46" s="10" t="str">
        <f aca="false">IF(B46&lt;&gt;"",TRIM(IFERROR(LEFT(B46,FIND("(",B46)-1),B46)),T45)</f>
        <v/>
      </c>
      <c r="U46" s="10" t="str">
        <f aca="false">IF(D46&lt;&gt;"",TRIM(IFERROR(LEFT(D46,FIND("(",D46)-1),D46)),U45)</f>
        <v/>
      </c>
      <c r="V46" s="10" t="str">
        <f aca="false">IF(F46&lt;&gt;"",TRIM(IFERROR(LEFT(F46,FIND("(",F46)-1),F46)),V45)</f>
        <v/>
      </c>
      <c r="W46" s="10" t="str">
        <f aca="false">IF(H46&lt;&gt;"",TRIM(IFERROR(LEFT(H46,FIND("(",H46)-1),H46)),W45)</f>
        <v/>
      </c>
      <c r="X46" s="10" t="str">
        <f aca="false">IF(J46&lt;&gt;"",TRIM(IFERROR(LEFT(J46,FIND("(",J46)-1),J46)),X45)</f>
        <v/>
      </c>
      <c r="Y46" s="10" t="str">
        <f aca="false">IF(L46&lt;&gt;"",TRIM(IFERROR(LEFT(L46,FIND("(",L46)-1),L46)),Y45)</f>
        <v/>
      </c>
      <c r="Z46" s="10" t="str">
        <f aca="false">IF(N46&lt;&gt;"",TRIM(IFERROR(LEFT(N46,FIND("(",N46)-1),N46)),Z45)</f>
        <v/>
      </c>
      <c r="AA46" s="10" t="str">
        <f aca="false">IF(P46&lt;&gt;"",TRIM(IFERROR(LEFT(P46,FIND("(",P46)-1),P46)),AA45)</f>
        <v/>
      </c>
      <c r="AD46" s="10" t="str">
        <f aca="false">IF(C46="","",IF(T46="","(sin responsabilidad)",T46))</f>
        <v/>
      </c>
      <c r="AE46" s="10" t="str">
        <f aca="false">IF(E46="","",IF(U46="","(sin responsabilidad)",U46))</f>
        <v/>
      </c>
      <c r="AF46" s="10" t="str">
        <f aca="false">IF(G46="","",IF(V46="","(sin responsabilidad)",V46))</f>
        <v/>
      </c>
      <c r="AG46" s="10" t="str">
        <f aca="false">IF(I46="","",IF(W46="","(sin responsabilidad)",W46))</f>
        <v/>
      </c>
      <c r="AH46" s="10" t="str">
        <f aca="false">IF(K46="","",IF(X46="","(sin responsabilidad)",X46))</f>
        <v/>
      </c>
      <c r="AI46" s="10" t="str">
        <f aca="false">IF(M46="","",IF(Y46="","(sin responsabilidad)",Y46))</f>
        <v/>
      </c>
      <c r="AJ46" s="10" t="str">
        <f aca="false">IF(O46="","",IF(Z46="","(sin responsabilidad)",Z46))</f>
        <v/>
      </c>
      <c r="AK46" s="10" t="str">
        <f aca="false">IF(Q46="","",IF(AA46="","(sin responsabilidad)",AA46))</f>
        <v/>
      </c>
      <c r="AN46" s="10" t="str">
        <f aca="false">IF(C46="","",TRIM(IFERROR(LEFT(C46,FIND("(",C46)-1),C46)))</f>
        <v/>
      </c>
      <c r="AO46" s="10" t="str">
        <f aca="false">IF(E46="","",TRIM(IFERROR(LEFT(E46,FIND("(",E46)-1),E46)))</f>
        <v/>
      </c>
      <c r="AP46" s="10" t="str">
        <f aca="false">IF(G46="","",TRIM(IFERROR(LEFT(G46,FIND("(",G46)-1),G46)))</f>
        <v/>
      </c>
      <c r="AQ46" s="10" t="str">
        <f aca="false">IF(I46="","",TRIM(IFERROR(LEFT(I46,FIND("(",I46)-1),I46)))</f>
        <v/>
      </c>
      <c r="AR46" s="10" t="str">
        <f aca="false">IF(K46="","",TRIM(IFERROR(LEFT(K46,FIND("(",K46)-1),K46)))</f>
        <v/>
      </c>
      <c r="AS46" s="10" t="str">
        <f aca="false">IF(M46="","",TRIM(IFERROR(LEFT(M46,FIND("(",M46)-1),M46)))</f>
        <v/>
      </c>
      <c r="AT46" s="10" t="str">
        <f aca="false">IF(O46="","",TRIM(IFERROR(LEFT(O46,FIND("(",O46)-1),O46)))</f>
        <v/>
      </c>
      <c r="AU46" s="10" t="str">
        <f aca="false">IF(Q46="","",TRIM(IFERROR(LEFT(Q46,FIND("(",Q46)-1),Q46)))</f>
        <v/>
      </c>
    </row>
    <row r="47" customFormat="false" ht="15" hidden="false" customHeight="false" outlineLevel="0" collapsed="false">
      <c r="A47" s="14" t="n">
        <v>33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T47" s="10" t="str">
        <f aca="false">IF(B47&lt;&gt;"",TRIM(IFERROR(LEFT(B47,FIND("(",B47)-1),B47)),T46)</f>
        <v/>
      </c>
      <c r="U47" s="10" t="str">
        <f aca="false">IF(D47&lt;&gt;"",TRIM(IFERROR(LEFT(D47,FIND("(",D47)-1),D47)),U46)</f>
        <v/>
      </c>
      <c r="V47" s="10" t="str">
        <f aca="false">IF(F47&lt;&gt;"",TRIM(IFERROR(LEFT(F47,FIND("(",F47)-1),F47)),V46)</f>
        <v/>
      </c>
      <c r="W47" s="10" t="str">
        <f aca="false">IF(H47&lt;&gt;"",TRIM(IFERROR(LEFT(H47,FIND("(",H47)-1),H47)),W46)</f>
        <v/>
      </c>
      <c r="X47" s="10" t="str">
        <f aca="false">IF(J47&lt;&gt;"",TRIM(IFERROR(LEFT(J47,FIND("(",J47)-1),J47)),X46)</f>
        <v/>
      </c>
      <c r="Y47" s="10" t="str">
        <f aca="false">IF(L47&lt;&gt;"",TRIM(IFERROR(LEFT(L47,FIND("(",L47)-1),L47)),Y46)</f>
        <v/>
      </c>
      <c r="Z47" s="10" t="str">
        <f aca="false">IF(N47&lt;&gt;"",TRIM(IFERROR(LEFT(N47,FIND("(",N47)-1),N47)),Z46)</f>
        <v/>
      </c>
      <c r="AA47" s="10" t="str">
        <f aca="false">IF(P47&lt;&gt;"",TRIM(IFERROR(LEFT(P47,FIND("(",P47)-1),P47)),AA46)</f>
        <v/>
      </c>
      <c r="AD47" s="10" t="str">
        <f aca="false">IF(C47="","",IF(T47="","(sin responsabilidad)",T47))</f>
        <v/>
      </c>
      <c r="AE47" s="10" t="str">
        <f aca="false">IF(E47="","",IF(U47="","(sin responsabilidad)",U47))</f>
        <v/>
      </c>
      <c r="AF47" s="10" t="str">
        <f aca="false">IF(G47="","",IF(V47="","(sin responsabilidad)",V47))</f>
        <v/>
      </c>
      <c r="AG47" s="10" t="str">
        <f aca="false">IF(I47="","",IF(W47="","(sin responsabilidad)",W47))</f>
        <v/>
      </c>
      <c r="AH47" s="10" t="str">
        <f aca="false">IF(K47="","",IF(X47="","(sin responsabilidad)",X47))</f>
        <v/>
      </c>
      <c r="AI47" s="10" t="str">
        <f aca="false">IF(M47="","",IF(Y47="","(sin responsabilidad)",Y47))</f>
        <v/>
      </c>
      <c r="AJ47" s="10" t="str">
        <f aca="false">IF(O47="","",IF(Z47="","(sin responsabilidad)",Z47))</f>
        <v/>
      </c>
      <c r="AK47" s="10" t="str">
        <f aca="false">IF(Q47="","",IF(AA47="","(sin responsabilidad)",AA47))</f>
        <v/>
      </c>
      <c r="AN47" s="10" t="str">
        <f aca="false">IF(C47="","",TRIM(IFERROR(LEFT(C47,FIND("(",C47)-1),C47)))</f>
        <v/>
      </c>
      <c r="AO47" s="10" t="str">
        <f aca="false">IF(E47="","",TRIM(IFERROR(LEFT(E47,FIND("(",E47)-1),E47)))</f>
        <v/>
      </c>
      <c r="AP47" s="10" t="str">
        <f aca="false">IF(G47="","",TRIM(IFERROR(LEFT(G47,FIND("(",G47)-1),G47)))</f>
        <v/>
      </c>
      <c r="AQ47" s="10" t="str">
        <f aca="false">IF(I47="","",TRIM(IFERROR(LEFT(I47,FIND("(",I47)-1),I47)))</f>
        <v/>
      </c>
      <c r="AR47" s="10" t="str">
        <f aca="false">IF(K47="","",TRIM(IFERROR(LEFT(K47,FIND("(",K47)-1),K47)))</f>
        <v/>
      </c>
      <c r="AS47" s="10" t="str">
        <f aca="false">IF(M47="","",TRIM(IFERROR(LEFT(M47,FIND("(",M47)-1),M47)))</f>
        <v/>
      </c>
      <c r="AT47" s="10" t="str">
        <f aca="false">IF(O47="","",TRIM(IFERROR(LEFT(O47,FIND("(",O47)-1),O47)))</f>
        <v/>
      </c>
      <c r="AU47" s="10" t="str">
        <f aca="false">IF(Q47="","",TRIM(IFERROR(LEFT(Q47,FIND("(",Q47)-1),Q47)))</f>
        <v/>
      </c>
    </row>
    <row r="48" customFormat="false" ht="15" hidden="false" customHeight="false" outlineLevel="0" collapsed="false">
      <c r="A48" s="14" t="n">
        <v>34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T48" s="10" t="str">
        <f aca="false">IF(B48&lt;&gt;"",TRIM(IFERROR(LEFT(B48,FIND("(",B48)-1),B48)),T47)</f>
        <v/>
      </c>
      <c r="U48" s="10" t="str">
        <f aca="false">IF(D48&lt;&gt;"",TRIM(IFERROR(LEFT(D48,FIND("(",D48)-1),D48)),U47)</f>
        <v/>
      </c>
      <c r="V48" s="10" t="str">
        <f aca="false">IF(F48&lt;&gt;"",TRIM(IFERROR(LEFT(F48,FIND("(",F48)-1),F48)),V47)</f>
        <v/>
      </c>
      <c r="W48" s="10" t="str">
        <f aca="false">IF(H48&lt;&gt;"",TRIM(IFERROR(LEFT(H48,FIND("(",H48)-1),H48)),W47)</f>
        <v/>
      </c>
      <c r="X48" s="10" t="str">
        <f aca="false">IF(J48&lt;&gt;"",TRIM(IFERROR(LEFT(J48,FIND("(",J48)-1),J48)),X47)</f>
        <v/>
      </c>
      <c r="Y48" s="10" t="str">
        <f aca="false">IF(L48&lt;&gt;"",TRIM(IFERROR(LEFT(L48,FIND("(",L48)-1),L48)),Y47)</f>
        <v/>
      </c>
      <c r="Z48" s="10" t="str">
        <f aca="false">IF(N48&lt;&gt;"",TRIM(IFERROR(LEFT(N48,FIND("(",N48)-1),N48)),Z47)</f>
        <v/>
      </c>
      <c r="AA48" s="10" t="str">
        <f aca="false">IF(P48&lt;&gt;"",TRIM(IFERROR(LEFT(P48,FIND("(",P48)-1),P48)),AA47)</f>
        <v/>
      </c>
      <c r="AD48" s="10" t="str">
        <f aca="false">IF(C48="","",IF(T48="","(sin responsabilidad)",T48))</f>
        <v/>
      </c>
      <c r="AE48" s="10" t="str">
        <f aca="false">IF(E48="","",IF(U48="","(sin responsabilidad)",U48))</f>
        <v/>
      </c>
      <c r="AF48" s="10" t="str">
        <f aca="false">IF(G48="","",IF(V48="","(sin responsabilidad)",V48))</f>
        <v/>
      </c>
      <c r="AG48" s="10" t="str">
        <f aca="false">IF(I48="","",IF(W48="","(sin responsabilidad)",W48))</f>
        <v/>
      </c>
      <c r="AH48" s="10" t="str">
        <f aca="false">IF(K48="","",IF(X48="","(sin responsabilidad)",X48))</f>
        <v/>
      </c>
      <c r="AI48" s="10" t="str">
        <f aca="false">IF(M48="","",IF(Y48="","(sin responsabilidad)",Y48))</f>
        <v/>
      </c>
      <c r="AJ48" s="10" t="str">
        <f aca="false">IF(O48="","",IF(Z48="","(sin responsabilidad)",Z48))</f>
        <v/>
      </c>
      <c r="AK48" s="10" t="str">
        <f aca="false">IF(Q48="","",IF(AA48="","(sin responsabilidad)",AA48))</f>
        <v/>
      </c>
      <c r="AN48" s="10" t="str">
        <f aca="false">IF(C48="","",TRIM(IFERROR(LEFT(C48,FIND("(",C48)-1),C48)))</f>
        <v/>
      </c>
      <c r="AO48" s="10" t="str">
        <f aca="false">IF(E48="","",TRIM(IFERROR(LEFT(E48,FIND("(",E48)-1),E48)))</f>
        <v/>
      </c>
      <c r="AP48" s="10" t="str">
        <f aca="false">IF(G48="","",TRIM(IFERROR(LEFT(G48,FIND("(",G48)-1),G48)))</f>
        <v/>
      </c>
      <c r="AQ48" s="10" t="str">
        <f aca="false">IF(I48="","",TRIM(IFERROR(LEFT(I48,FIND("(",I48)-1),I48)))</f>
        <v/>
      </c>
      <c r="AR48" s="10" t="str">
        <f aca="false">IF(K48="","",TRIM(IFERROR(LEFT(K48,FIND("(",K48)-1),K48)))</f>
        <v/>
      </c>
      <c r="AS48" s="10" t="str">
        <f aca="false">IF(M48="","",TRIM(IFERROR(LEFT(M48,FIND("(",M48)-1),M48)))</f>
        <v/>
      </c>
      <c r="AT48" s="10" t="str">
        <f aca="false">IF(O48="","",TRIM(IFERROR(LEFT(O48,FIND("(",O48)-1),O48)))</f>
        <v/>
      </c>
      <c r="AU48" s="10" t="str">
        <f aca="false">IF(Q48="","",TRIM(IFERROR(LEFT(Q48,FIND("(",Q48)-1),Q48)))</f>
        <v/>
      </c>
    </row>
    <row r="49" customFormat="false" ht="15" hidden="false" customHeight="false" outlineLevel="0" collapsed="false">
      <c r="A49" s="14" t="n">
        <v>35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T49" s="10" t="str">
        <f aca="false">IF(B49&lt;&gt;"",TRIM(IFERROR(LEFT(B49,FIND("(",B49)-1),B49)),T48)</f>
        <v/>
      </c>
      <c r="U49" s="10" t="str">
        <f aca="false">IF(D49&lt;&gt;"",TRIM(IFERROR(LEFT(D49,FIND("(",D49)-1),D49)),U48)</f>
        <v/>
      </c>
      <c r="V49" s="10" t="str">
        <f aca="false">IF(F49&lt;&gt;"",TRIM(IFERROR(LEFT(F49,FIND("(",F49)-1),F49)),V48)</f>
        <v/>
      </c>
      <c r="W49" s="10" t="str">
        <f aca="false">IF(H49&lt;&gt;"",TRIM(IFERROR(LEFT(H49,FIND("(",H49)-1),H49)),W48)</f>
        <v/>
      </c>
      <c r="X49" s="10" t="str">
        <f aca="false">IF(J49&lt;&gt;"",TRIM(IFERROR(LEFT(J49,FIND("(",J49)-1),J49)),X48)</f>
        <v/>
      </c>
      <c r="Y49" s="10" t="str">
        <f aca="false">IF(L49&lt;&gt;"",TRIM(IFERROR(LEFT(L49,FIND("(",L49)-1),L49)),Y48)</f>
        <v/>
      </c>
      <c r="Z49" s="10" t="str">
        <f aca="false">IF(N49&lt;&gt;"",TRIM(IFERROR(LEFT(N49,FIND("(",N49)-1),N49)),Z48)</f>
        <v/>
      </c>
      <c r="AA49" s="10" t="str">
        <f aca="false">IF(P49&lt;&gt;"",TRIM(IFERROR(LEFT(P49,FIND("(",P49)-1),P49)),AA48)</f>
        <v/>
      </c>
      <c r="AD49" s="10" t="str">
        <f aca="false">IF(C49="","",IF(T49="","(sin responsabilidad)",T49))</f>
        <v/>
      </c>
      <c r="AE49" s="10" t="str">
        <f aca="false">IF(E49="","",IF(U49="","(sin responsabilidad)",U49))</f>
        <v/>
      </c>
      <c r="AF49" s="10" t="str">
        <f aca="false">IF(G49="","",IF(V49="","(sin responsabilidad)",V49))</f>
        <v/>
      </c>
      <c r="AG49" s="10" t="str">
        <f aca="false">IF(I49="","",IF(W49="","(sin responsabilidad)",W49))</f>
        <v/>
      </c>
      <c r="AH49" s="10" t="str">
        <f aca="false">IF(K49="","",IF(X49="","(sin responsabilidad)",X49))</f>
        <v/>
      </c>
      <c r="AI49" s="10" t="str">
        <f aca="false">IF(M49="","",IF(Y49="","(sin responsabilidad)",Y49))</f>
        <v/>
      </c>
      <c r="AJ49" s="10" t="str">
        <f aca="false">IF(O49="","",IF(Z49="","(sin responsabilidad)",Z49))</f>
        <v/>
      </c>
      <c r="AK49" s="10" t="str">
        <f aca="false">IF(Q49="","",IF(AA49="","(sin responsabilidad)",AA49))</f>
        <v/>
      </c>
      <c r="AN49" s="10" t="str">
        <f aca="false">IF(C49="","",TRIM(IFERROR(LEFT(C49,FIND("(",C49)-1),C49)))</f>
        <v/>
      </c>
      <c r="AO49" s="10" t="str">
        <f aca="false">IF(E49="","",TRIM(IFERROR(LEFT(E49,FIND("(",E49)-1),E49)))</f>
        <v/>
      </c>
      <c r="AP49" s="10" t="str">
        <f aca="false">IF(G49="","",TRIM(IFERROR(LEFT(G49,FIND("(",G49)-1),G49)))</f>
        <v/>
      </c>
      <c r="AQ49" s="10" t="str">
        <f aca="false">IF(I49="","",TRIM(IFERROR(LEFT(I49,FIND("(",I49)-1),I49)))</f>
        <v/>
      </c>
      <c r="AR49" s="10" t="str">
        <f aca="false">IF(K49="","",TRIM(IFERROR(LEFT(K49,FIND("(",K49)-1),K49)))</f>
        <v/>
      </c>
      <c r="AS49" s="10" t="str">
        <f aca="false">IF(M49="","",TRIM(IFERROR(LEFT(M49,FIND("(",M49)-1),M49)))</f>
        <v/>
      </c>
      <c r="AT49" s="10" t="str">
        <f aca="false">IF(O49="","",TRIM(IFERROR(LEFT(O49,FIND("(",O49)-1),O49)))</f>
        <v/>
      </c>
      <c r="AU49" s="10" t="str">
        <f aca="false">IF(Q49="","",TRIM(IFERROR(LEFT(Q49,FIND("(",Q49)-1),Q49)))</f>
        <v/>
      </c>
    </row>
    <row r="50" customFormat="false" ht="15" hidden="false" customHeight="false" outlineLevel="0" collapsed="false">
      <c r="A50" s="14" t="n">
        <v>36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T50" s="10" t="str">
        <f aca="false">IF(B50&lt;&gt;"",TRIM(IFERROR(LEFT(B50,FIND("(",B50)-1),B50)),T49)</f>
        <v/>
      </c>
      <c r="U50" s="10" t="str">
        <f aca="false">IF(D50&lt;&gt;"",TRIM(IFERROR(LEFT(D50,FIND("(",D50)-1),D50)),U49)</f>
        <v/>
      </c>
      <c r="V50" s="10" t="str">
        <f aca="false">IF(F50&lt;&gt;"",TRIM(IFERROR(LEFT(F50,FIND("(",F50)-1),F50)),V49)</f>
        <v/>
      </c>
      <c r="W50" s="10" t="str">
        <f aca="false">IF(H50&lt;&gt;"",TRIM(IFERROR(LEFT(H50,FIND("(",H50)-1),H50)),W49)</f>
        <v/>
      </c>
      <c r="X50" s="10" t="str">
        <f aca="false">IF(J50&lt;&gt;"",TRIM(IFERROR(LEFT(J50,FIND("(",J50)-1),J50)),X49)</f>
        <v/>
      </c>
      <c r="Y50" s="10" t="str">
        <f aca="false">IF(L50&lt;&gt;"",TRIM(IFERROR(LEFT(L50,FIND("(",L50)-1),L50)),Y49)</f>
        <v/>
      </c>
      <c r="Z50" s="10" t="str">
        <f aca="false">IF(N50&lt;&gt;"",TRIM(IFERROR(LEFT(N50,FIND("(",N50)-1),N50)),Z49)</f>
        <v/>
      </c>
      <c r="AA50" s="10" t="str">
        <f aca="false">IF(P50&lt;&gt;"",TRIM(IFERROR(LEFT(P50,FIND("(",P50)-1),P50)),AA49)</f>
        <v/>
      </c>
      <c r="AD50" s="10" t="str">
        <f aca="false">IF(C50="","",IF(T50="","(sin responsabilidad)",T50))</f>
        <v/>
      </c>
      <c r="AE50" s="10" t="str">
        <f aca="false">IF(E50="","",IF(U50="","(sin responsabilidad)",U50))</f>
        <v/>
      </c>
      <c r="AF50" s="10" t="str">
        <f aca="false">IF(G50="","",IF(V50="","(sin responsabilidad)",V50))</f>
        <v/>
      </c>
      <c r="AG50" s="10" t="str">
        <f aca="false">IF(I50="","",IF(W50="","(sin responsabilidad)",W50))</f>
        <v/>
      </c>
      <c r="AH50" s="10" t="str">
        <f aca="false">IF(K50="","",IF(X50="","(sin responsabilidad)",X50))</f>
        <v/>
      </c>
      <c r="AI50" s="10" t="str">
        <f aca="false">IF(M50="","",IF(Y50="","(sin responsabilidad)",Y50))</f>
        <v/>
      </c>
      <c r="AJ50" s="10" t="str">
        <f aca="false">IF(O50="","",IF(Z50="","(sin responsabilidad)",Z50))</f>
        <v/>
      </c>
      <c r="AK50" s="10" t="str">
        <f aca="false">IF(Q50="","",IF(AA50="","(sin responsabilidad)",AA50))</f>
        <v/>
      </c>
      <c r="AN50" s="10" t="str">
        <f aca="false">IF(C50="","",TRIM(IFERROR(LEFT(C50,FIND("(",C50)-1),C50)))</f>
        <v/>
      </c>
      <c r="AO50" s="10" t="str">
        <f aca="false">IF(E50="","",TRIM(IFERROR(LEFT(E50,FIND("(",E50)-1),E50)))</f>
        <v/>
      </c>
      <c r="AP50" s="10" t="str">
        <f aca="false">IF(G50="","",TRIM(IFERROR(LEFT(G50,FIND("(",G50)-1),G50)))</f>
        <v/>
      </c>
      <c r="AQ50" s="10" t="str">
        <f aca="false">IF(I50="","",TRIM(IFERROR(LEFT(I50,FIND("(",I50)-1),I50)))</f>
        <v/>
      </c>
      <c r="AR50" s="10" t="str">
        <f aca="false">IF(K50="","",TRIM(IFERROR(LEFT(K50,FIND("(",K50)-1),K50)))</f>
        <v/>
      </c>
      <c r="AS50" s="10" t="str">
        <f aca="false">IF(M50="","",TRIM(IFERROR(LEFT(M50,FIND("(",M50)-1),M50)))</f>
        <v/>
      </c>
      <c r="AT50" s="10" t="str">
        <f aca="false">IF(O50="","",TRIM(IFERROR(LEFT(O50,FIND("(",O50)-1),O50)))</f>
        <v/>
      </c>
      <c r="AU50" s="10" t="str">
        <f aca="false">IF(Q50="","",TRIM(IFERROR(LEFT(Q50,FIND("(",Q50)-1),Q50)))</f>
        <v/>
      </c>
    </row>
    <row r="51" customFormat="false" ht="15" hidden="false" customHeight="false" outlineLevel="0" collapsed="false">
      <c r="A51" s="14" t="n">
        <v>37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T51" s="10" t="str">
        <f aca="false">IF(B51&lt;&gt;"",TRIM(IFERROR(LEFT(B51,FIND("(",B51)-1),B51)),T50)</f>
        <v/>
      </c>
      <c r="U51" s="10" t="str">
        <f aca="false">IF(D51&lt;&gt;"",TRIM(IFERROR(LEFT(D51,FIND("(",D51)-1),D51)),U50)</f>
        <v/>
      </c>
      <c r="V51" s="10" t="str">
        <f aca="false">IF(F51&lt;&gt;"",TRIM(IFERROR(LEFT(F51,FIND("(",F51)-1),F51)),V50)</f>
        <v/>
      </c>
      <c r="W51" s="10" t="str">
        <f aca="false">IF(H51&lt;&gt;"",TRIM(IFERROR(LEFT(H51,FIND("(",H51)-1),H51)),W50)</f>
        <v/>
      </c>
      <c r="X51" s="10" t="str">
        <f aca="false">IF(J51&lt;&gt;"",TRIM(IFERROR(LEFT(J51,FIND("(",J51)-1),J51)),X50)</f>
        <v/>
      </c>
      <c r="Y51" s="10" t="str">
        <f aca="false">IF(L51&lt;&gt;"",TRIM(IFERROR(LEFT(L51,FIND("(",L51)-1),L51)),Y50)</f>
        <v/>
      </c>
      <c r="Z51" s="10" t="str">
        <f aca="false">IF(N51&lt;&gt;"",TRIM(IFERROR(LEFT(N51,FIND("(",N51)-1),N51)),Z50)</f>
        <v/>
      </c>
      <c r="AA51" s="10" t="str">
        <f aca="false">IF(P51&lt;&gt;"",TRIM(IFERROR(LEFT(P51,FIND("(",P51)-1),P51)),AA50)</f>
        <v/>
      </c>
      <c r="AD51" s="10" t="str">
        <f aca="false">IF(C51="","",IF(T51="","(sin responsabilidad)",T51))</f>
        <v/>
      </c>
      <c r="AE51" s="10" t="str">
        <f aca="false">IF(E51="","",IF(U51="","(sin responsabilidad)",U51))</f>
        <v/>
      </c>
      <c r="AF51" s="10" t="str">
        <f aca="false">IF(G51="","",IF(V51="","(sin responsabilidad)",V51))</f>
        <v/>
      </c>
      <c r="AG51" s="10" t="str">
        <f aca="false">IF(I51="","",IF(W51="","(sin responsabilidad)",W51))</f>
        <v/>
      </c>
      <c r="AH51" s="10" t="str">
        <f aca="false">IF(K51="","",IF(X51="","(sin responsabilidad)",X51))</f>
        <v/>
      </c>
      <c r="AI51" s="10" t="str">
        <f aca="false">IF(M51="","",IF(Y51="","(sin responsabilidad)",Y51))</f>
        <v/>
      </c>
      <c r="AJ51" s="10" t="str">
        <f aca="false">IF(O51="","",IF(Z51="","(sin responsabilidad)",Z51))</f>
        <v/>
      </c>
      <c r="AK51" s="10" t="str">
        <f aca="false">IF(Q51="","",IF(AA51="","(sin responsabilidad)",AA51))</f>
        <v/>
      </c>
      <c r="AN51" s="10" t="str">
        <f aca="false">IF(C51="","",TRIM(IFERROR(LEFT(C51,FIND("(",C51)-1),C51)))</f>
        <v/>
      </c>
      <c r="AO51" s="10" t="str">
        <f aca="false">IF(E51="","",TRIM(IFERROR(LEFT(E51,FIND("(",E51)-1),E51)))</f>
        <v/>
      </c>
      <c r="AP51" s="10" t="str">
        <f aca="false">IF(G51="","",TRIM(IFERROR(LEFT(G51,FIND("(",G51)-1),G51)))</f>
        <v/>
      </c>
      <c r="AQ51" s="10" t="str">
        <f aca="false">IF(I51="","",TRIM(IFERROR(LEFT(I51,FIND("(",I51)-1),I51)))</f>
        <v/>
      </c>
      <c r="AR51" s="10" t="str">
        <f aca="false">IF(K51="","",TRIM(IFERROR(LEFT(K51,FIND("(",K51)-1),K51)))</f>
        <v/>
      </c>
      <c r="AS51" s="10" t="str">
        <f aca="false">IF(M51="","",TRIM(IFERROR(LEFT(M51,FIND("(",M51)-1),M51)))</f>
        <v/>
      </c>
      <c r="AT51" s="10" t="str">
        <f aca="false">IF(O51="","",TRIM(IFERROR(LEFT(O51,FIND("(",O51)-1),O51)))</f>
        <v/>
      </c>
      <c r="AU51" s="10" t="str">
        <f aca="false">IF(Q51="","",TRIM(IFERROR(LEFT(Q51,FIND("(",Q51)-1),Q51)))</f>
        <v/>
      </c>
    </row>
    <row r="52" customFormat="false" ht="15" hidden="false" customHeight="false" outlineLevel="0" collapsed="false">
      <c r="A52" s="14" t="n">
        <v>38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T52" s="10" t="str">
        <f aca="false">IF(B52&lt;&gt;"",TRIM(IFERROR(LEFT(B52,FIND("(",B52)-1),B52)),T51)</f>
        <v/>
      </c>
      <c r="U52" s="10" t="str">
        <f aca="false">IF(D52&lt;&gt;"",TRIM(IFERROR(LEFT(D52,FIND("(",D52)-1),D52)),U51)</f>
        <v/>
      </c>
      <c r="V52" s="10" t="str">
        <f aca="false">IF(F52&lt;&gt;"",TRIM(IFERROR(LEFT(F52,FIND("(",F52)-1),F52)),V51)</f>
        <v/>
      </c>
      <c r="W52" s="10" t="str">
        <f aca="false">IF(H52&lt;&gt;"",TRIM(IFERROR(LEFT(H52,FIND("(",H52)-1),H52)),W51)</f>
        <v/>
      </c>
      <c r="X52" s="10" t="str">
        <f aca="false">IF(J52&lt;&gt;"",TRIM(IFERROR(LEFT(J52,FIND("(",J52)-1),J52)),X51)</f>
        <v/>
      </c>
      <c r="Y52" s="10" t="str">
        <f aca="false">IF(L52&lt;&gt;"",TRIM(IFERROR(LEFT(L52,FIND("(",L52)-1),L52)),Y51)</f>
        <v/>
      </c>
      <c r="Z52" s="10" t="str">
        <f aca="false">IF(N52&lt;&gt;"",TRIM(IFERROR(LEFT(N52,FIND("(",N52)-1),N52)),Z51)</f>
        <v/>
      </c>
      <c r="AA52" s="10" t="str">
        <f aca="false">IF(P52&lt;&gt;"",TRIM(IFERROR(LEFT(P52,FIND("(",P52)-1),P52)),AA51)</f>
        <v/>
      </c>
      <c r="AD52" s="10" t="str">
        <f aca="false">IF(C52="","",IF(T52="","(sin responsabilidad)",T52))</f>
        <v/>
      </c>
      <c r="AE52" s="10" t="str">
        <f aca="false">IF(E52="","",IF(U52="","(sin responsabilidad)",U52))</f>
        <v/>
      </c>
      <c r="AF52" s="10" t="str">
        <f aca="false">IF(G52="","",IF(V52="","(sin responsabilidad)",V52))</f>
        <v/>
      </c>
      <c r="AG52" s="10" t="str">
        <f aca="false">IF(I52="","",IF(W52="","(sin responsabilidad)",W52))</f>
        <v/>
      </c>
      <c r="AH52" s="10" t="str">
        <f aca="false">IF(K52="","",IF(X52="","(sin responsabilidad)",X52))</f>
        <v/>
      </c>
      <c r="AI52" s="10" t="str">
        <f aca="false">IF(M52="","",IF(Y52="","(sin responsabilidad)",Y52))</f>
        <v/>
      </c>
      <c r="AJ52" s="10" t="str">
        <f aca="false">IF(O52="","",IF(Z52="","(sin responsabilidad)",Z52))</f>
        <v/>
      </c>
      <c r="AK52" s="10" t="str">
        <f aca="false">IF(Q52="","",IF(AA52="","(sin responsabilidad)",AA52))</f>
        <v/>
      </c>
      <c r="AN52" s="10" t="str">
        <f aca="false">IF(C52="","",TRIM(IFERROR(LEFT(C52,FIND("(",C52)-1),C52)))</f>
        <v/>
      </c>
      <c r="AO52" s="10" t="str">
        <f aca="false">IF(E52="","",TRIM(IFERROR(LEFT(E52,FIND("(",E52)-1),E52)))</f>
        <v/>
      </c>
      <c r="AP52" s="10" t="str">
        <f aca="false">IF(G52="","",TRIM(IFERROR(LEFT(G52,FIND("(",G52)-1),G52)))</f>
        <v/>
      </c>
      <c r="AQ52" s="10" t="str">
        <f aca="false">IF(I52="","",TRIM(IFERROR(LEFT(I52,FIND("(",I52)-1),I52)))</f>
        <v/>
      </c>
      <c r="AR52" s="10" t="str">
        <f aca="false">IF(K52="","",TRIM(IFERROR(LEFT(K52,FIND("(",K52)-1),K52)))</f>
        <v/>
      </c>
      <c r="AS52" s="10" t="str">
        <f aca="false">IF(M52="","",TRIM(IFERROR(LEFT(M52,FIND("(",M52)-1),M52)))</f>
        <v/>
      </c>
      <c r="AT52" s="10" t="str">
        <f aca="false">IF(O52="","",TRIM(IFERROR(LEFT(O52,FIND("(",O52)-1),O52)))</f>
        <v/>
      </c>
      <c r="AU52" s="10" t="str">
        <f aca="false">IF(Q52="","",TRIM(IFERROR(LEFT(Q52,FIND("(",Q52)-1),Q52)))</f>
        <v/>
      </c>
    </row>
    <row r="53" customFormat="false" ht="15" hidden="false" customHeight="false" outlineLevel="0" collapsed="false">
      <c r="A53" s="14" t="n">
        <v>39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T53" s="10" t="str">
        <f aca="false">IF(B53&lt;&gt;"",TRIM(IFERROR(LEFT(B53,FIND("(",B53)-1),B53)),T52)</f>
        <v/>
      </c>
      <c r="U53" s="10" t="str">
        <f aca="false">IF(D53&lt;&gt;"",TRIM(IFERROR(LEFT(D53,FIND("(",D53)-1),D53)),U52)</f>
        <v/>
      </c>
      <c r="V53" s="10" t="str">
        <f aca="false">IF(F53&lt;&gt;"",TRIM(IFERROR(LEFT(F53,FIND("(",F53)-1),F53)),V52)</f>
        <v/>
      </c>
      <c r="W53" s="10" t="str">
        <f aca="false">IF(H53&lt;&gt;"",TRIM(IFERROR(LEFT(H53,FIND("(",H53)-1),H53)),W52)</f>
        <v/>
      </c>
      <c r="X53" s="10" t="str">
        <f aca="false">IF(J53&lt;&gt;"",TRIM(IFERROR(LEFT(J53,FIND("(",J53)-1),J53)),X52)</f>
        <v/>
      </c>
      <c r="Y53" s="10" t="str">
        <f aca="false">IF(L53&lt;&gt;"",TRIM(IFERROR(LEFT(L53,FIND("(",L53)-1),L53)),Y52)</f>
        <v/>
      </c>
      <c r="Z53" s="10" t="str">
        <f aca="false">IF(N53&lt;&gt;"",TRIM(IFERROR(LEFT(N53,FIND("(",N53)-1),N53)),Z52)</f>
        <v/>
      </c>
      <c r="AA53" s="10" t="str">
        <f aca="false">IF(P53&lt;&gt;"",TRIM(IFERROR(LEFT(P53,FIND("(",P53)-1),P53)),AA52)</f>
        <v/>
      </c>
      <c r="AD53" s="10" t="str">
        <f aca="false">IF(C53="","",IF(T53="","(sin responsabilidad)",T53))</f>
        <v/>
      </c>
      <c r="AE53" s="10" t="str">
        <f aca="false">IF(E53="","",IF(U53="","(sin responsabilidad)",U53))</f>
        <v/>
      </c>
      <c r="AF53" s="10" t="str">
        <f aca="false">IF(G53="","",IF(V53="","(sin responsabilidad)",V53))</f>
        <v/>
      </c>
      <c r="AG53" s="10" t="str">
        <f aca="false">IF(I53="","",IF(W53="","(sin responsabilidad)",W53))</f>
        <v/>
      </c>
      <c r="AH53" s="10" t="str">
        <f aca="false">IF(K53="","",IF(X53="","(sin responsabilidad)",X53))</f>
        <v/>
      </c>
      <c r="AI53" s="10" t="str">
        <f aca="false">IF(M53="","",IF(Y53="","(sin responsabilidad)",Y53))</f>
        <v/>
      </c>
      <c r="AJ53" s="10" t="str">
        <f aca="false">IF(O53="","",IF(Z53="","(sin responsabilidad)",Z53))</f>
        <v/>
      </c>
      <c r="AK53" s="10" t="str">
        <f aca="false">IF(Q53="","",IF(AA53="","(sin responsabilidad)",AA53))</f>
        <v/>
      </c>
      <c r="AN53" s="10" t="str">
        <f aca="false">IF(C53="","",TRIM(IFERROR(LEFT(C53,FIND("(",C53)-1),C53)))</f>
        <v/>
      </c>
      <c r="AO53" s="10" t="str">
        <f aca="false">IF(E53="","",TRIM(IFERROR(LEFT(E53,FIND("(",E53)-1),E53)))</f>
        <v/>
      </c>
      <c r="AP53" s="10" t="str">
        <f aca="false">IF(G53="","",TRIM(IFERROR(LEFT(G53,FIND("(",G53)-1),G53)))</f>
        <v/>
      </c>
      <c r="AQ53" s="10" t="str">
        <f aca="false">IF(I53="","",TRIM(IFERROR(LEFT(I53,FIND("(",I53)-1),I53)))</f>
        <v/>
      </c>
      <c r="AR53" s="10" t="str">
        <f aca="false">IF(K53="","",TRIM(IFERROR(LEFT(K53,FIND("(",K53)-1),K53)))</f>
        <v/>
      </c>
      <c r="AS53" s="10" t="str">
        <f aca="false">IF(M53="","",TRIM(IFERROR(LEFT(M53,FIND("(",M53)-1),M53)))</f>
        <v/>
      </c>
      <c r="AT53" s="10" t="str">
        <f aca="false">IF(O53="","",TRIM(IFERROR(LEFT(O53,FIND("(",O53)-1),O53)))</f>
        <v/>
      </c>
      <c r="AU53" s="10" t="str">
        <f aca="false">IF(Q53="","",TRIM(IFERROR(LEFT(Q53,FIND("(",Q53)-1),Q53)))</f>
        <v/>
      </c>
    </row>
    <row r="54" customFormat="false" ht="15" hidden="false" customHeight="false" outlineLevel="0" collapsed="false">
      <c r="A54" s="14" t="n">
        <v>40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T54" s="10" t="str">
        <f aca="false">IF(B54&lt;&gt;"",TRIM(IFERROR(LEFT(B54,FIND("(",B54)-1),B54)),T53)</f>
        <v/>
      </c>
      <c r="U54" s="10" t="str">
        <f aca="false">IF(D54&lt;&gt;"",TRIM(IFERROR(LEFT(D54,FIND("(",D54)-1),D54)),U53)</f>
        <v/>
      </c>
      <c r="V54" s="10" t="str">
        <f aca="false">IF(F54&lt;&gt;"",TRIM(IFERROR(LEFT(F54,FIND("(",F54)-1),F54)),V53)</f>
        <v/>
      </c>
      <c r="W54" s="10" t="str">
        <f aca="false">IF(H54&lt;&gt;"",TRIM(IFERROR(LEFT(H54,FIND("(",H54)-1),H54)),W53)</f>
        <v/>
      </c>
      <c r="X54" s="10" t="str">
        <f aca="false">IF(J54&lt;&gt;"",TRIM(IFERROR(LEFT(J54,FIND("(",J54)-1),J54)),X53)</f>
        <v/>
      </c>
      <c r="Y54" s="10" t="str">
        <f aca="false">IF(L54&lt;&gt;"",TRIM(IFERROR(LEFT(L54,FIND("(",L54)-1),L54)),Y53)</f>
        <v/>
      </c>
      <c r="Z54" s="10" t="str">
        <f aca="false">IF(N54&lt;&gt;"",TRIM(IFERROR(LEFT(N54,FIND("(",N54)-1),N54)),Z53)</f>
        <v/>
      </c>
      <c r="AA54" s="10" t="str">
        <f aca="false">IF(P54&lt;&gt;"",TRIM(IFERROR(LEFT(P54,FIND("(",P54)-1),P54)),AA53)</f>
        <v/>
      </c>
      <c r="AD54" s="10" t="str">
        <f aca="false">IF(C54="","",IF(T54="","(sin responsabilidad)",T54))</f>
        <v/>
      </c>
      <c r="AE54" s="10" t="str">
        <f aca="false">IF(E54="","",IF(U54="","(sin responsabilidad)",U54))</f>
        <v/>
      </c>
      <c r="AF54" s="10" t="str">
        <f aca="false">IF(G54="","",IF(V54="","(sin responsabilidad)",V54))</f>
        <v/>
      </c>
      <c r="AG54" s="10" t="str">
        <f aca="false">IF(I54="","",IF(W54="","(sin responsabilidad)",W54))</f>
        <v/>
      </c>
      <c r="AH54" s="10" t="str">
        <f aca="false">IF(K54="","",IF(X54="","(sin responsabilidad)",X54))</f>
        <v/>
      </c>
      <c r="AI54" s="10" t="str">
        <f aca="false">IF(M54="","",IF(Y54="","(sin responsabilidad)",Y54))</f>
        <v/>
      </c>
      <c r="AJ54" s="10" t="str">
        <f aca="false">IF(O54="","",IF(Z54="","(sin responsabilidad)",Z54))</f>
        <v/>
      </c>
      <c r="AK54" s="10" t="str">
        <f aca="false">IF(Q54="","",IF(AA54="","(sin responsabilidad)",AA54))</f>
        <v/>
      </c>
      <c r="AN54" s="10" t="str">
        <f aca="false">IF(C54="","",TRIM(IFERROR(LEFT(C54,FIND("(",C54)-1),C54)))</f>
        <v/>
      </c>
      <c r="AO54" s="10" t="str">
        <f aca="false">IF(E54="","",TRIM(IFERROR(LEFT(E54,FIND("(",E54)-1),E54)))</f>
        <v/>
      </c>
      <c r="AP54" s="10" t="str">
        <f aca="false">IF(G54="","",TRIM(IFERROR(LEFT(G54,FIND("(",G54)-1),G54)))</f>
        <v/>
      </c>
      <c r="AQ54" s="10" t="str">
        <f aca="false">IF(I54="","",TRIM(IFERROR(LEFT(I54,FIND("(",I54)-1),I54)))</f>
        <v/>
      </c>
      <c r="AR54" s="10" t="str">
        <f aca="false">IF(K54="","",TRIM(IFERROR(LEFT(K54,FIND("(",K54)-1),K54)))</f>
        <v/>
      </c>
      <c r="AS54" s="10" t="str">
        <f aca="false">IF(M54="","",TRIM(IFERROR(LEFT(M54,FIND("(",M54)-1),M54)))</f>
        <v/>
      </c>
      <c r="AT54" s="10" t="str">
        <f aca="false">IF(O54="","",TRIM(IFERROR(LEFT(O54,FIND("(",O54)-1),O54)))</f>
        <v/>
      </c>
      <c r="AU54" s="10" t="str">
        <f aca="false">IF(Q54="","",TRIM(IFERROR(LEFT(Q54,FIND("(",Q54)-1),Q54)))</f>
        <v/>
      </c>
    </row>
    <row r="55" customFormat="false" ht="15" hidden="false" customHeight="false" outlineLevel="0" collapsed="false">
      <c r="A55" s="14" t="n">
        <v>41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T55" s="10" t="str">
        <f aca="false">IF(B55&lt;&gt;"",TRIM(IFERROR(LEFT(B55,FIND("(",B55)-1),B55)),T54)</f>
        <v/>
      </c>
      <c r="U55" s="10" t="str">
        <f aca="false">IF(D55&lt;&gt;"",TRIM(IFERROR(LEFT(D55,FIND("(",D55)-1),D55)),U54)</f>
        <v/>
      </c>
      <c r="V55" s="10" t="str">
        <f aca="false">IF(F55&lt;&gt;"",TRIM(IFERROR(LEFT(F55,FIND("(",F55)-1),F55)),V54)</f>
        <v/>
      </c>
      <c r="W55" s="10" t="str">
        <f aca="false">IF(H55&lt;&gt;"",TRIM(IFERROR(LEFT(H55,FIND("(",H55)-1),H55)),W54)</f>
        <v/>
      </c>
      <c r="X55" s="10" t="str">
        <f aca="false">IF(J55&lt;&gt;"",TRIM(IFERROR(LEFT(J55,FIND("(",J55)-1),J55)),X54)</f>
        <v/>
      </c>
      <c r="Y55" s="10" t="str">
        <f aca="false">IF(L55&lt;&gt;"",TRIM(IFERROR(LEFT(L55,FIND("(",L55)-1),L55)),Y54)</f>
        <v/>
      </c>
      <c r="Z55" s="10" t="str">
        <f aca="false">IF(N55&lt;&gt;"",TRIM(IFERROR(LEFT(N55,FIND("(",N55)-1),N55)),Z54)</f>
        <v/>
      </c>
      <c r="AA55" s="10" t="str">
        <f aca="false">IF(P55&lt;&gt;"",TRIM(IFERROR(LEFT(P55,FIND("(",P55)-1),P55)),AA54)</f>
        <v/>
      </c>
      <c r="AD55" s="10" t="str">
        <f aca="false">IF(C55="","",IF(T55="","(sin responsabilidad)",T55))</f>
        <v/>
      </c>
      <c r="AE55" s="10" t="str">
        <f aca="false">IF(E55="","",IF(U55="","(sin responsabilidad)",U55))</f>
        <v/>
      </c>
      <c r="AF55" s="10" t="str">
        <f aca="false">IF(G55="","",IF(V55="","(sin responsabilidad)",V55))</f>
        <v/>
      </c>
      <c r="AG55" s="10" t="str">
        <f aca="false">IF(I55="","",IF(W55="","(sin responsabilidad)",W55))</f>
        <v/>
      </c>
      <c r="AH55" s="10" t="str">
        <f aca="false">IF(K55="","",IF(X55="","(sin responsabilidad)",X55))</f>
        <v/>
      </c>
      <c r="AI55" s="10" t="str">
        <f aca="false">IF(M55="","",IF(Y55="","(sin responsabilidad)",Y55))</f>
        <v/>
      </c>
      <c r="AJ55" s="10" t="str">
        <f aca="false">IF(O55="","",IF(Z55="","(sin responsabilidad)",Z55))</f>
        <v/>
      </c>
      <c r="AK55" s="10" t="str">
        <f aca="false">IF(Q55="","",IF(AA55="","(sin responsabilidad)",AA55))</f>
        <v/>
      </c>
      <c r="AN55" s="10" t="str">
        <f aca="false">IF(C55="","",TRIM(IFERROR(LEFT(C55,FIND("(",C55)-1),C55)))</f>
        <v/>
      </c>
      <c r="AO55" s="10" t="str">
        <f aca="false">IF(E55="","",TRIM(IFERROR(LEFT(E55,FIND("(",E55)-1),E55)))</f>
        <v/>
      </c>
      <c r="AP55" s="10" t="str">
        <f aca="false">IF(G55="","",TRIM(IFERROR(LEFT(G55,FIND("(",G55)-1),G55)))</f>
        <v/>
      </c>
      <c r="AQ55" s="10" t="str">
        <f aca="false">IF(I55="","",TRIM(IFERROR(LEFT(I55,FIND("(",I55)-1),I55)))</f>
        <v/>
      </c>
      <c r="AR55" s="10" t="str">
        <f aca="false">IF(K55="","",TRIM(IFERROR(LEFT(K55,FIND("(",K55)-1),K55)))</f>
        <v/>
      </c>
      <c r="AS55" s="10" t="str">
        <f aca="false">IF(M55="","",TRIM(IFERROR(LEFT(M55,FIND("(",M55)-1),M55)))</f>
        <v/>
      </c>
      <c r="AT55" s="10" t="str">
        <f aca="false">IF(O55="","",TRIM(IFERROR(LEFT(O55,FIND("(",O55)-1),O55)))</f>
        <v/>
      </c>
      <c r="AU55" s="10" t="str">
        <f aca="false">IF(Q55="","",TRIM(IFERROR(LEFT(Q55,FIND("(",Q55)-1),Q55)))</f>
        <v/>
      </c>
    </row>
    <row r="56" customFormat="false" ht="15" hidden="false" customHeight="false" outlineLevel="0" collapsed="false">
      <c r="A56" s="14" t="n">
        <v>42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T56" s="10" t="str">
        <f aca="false">IF(B56&lt;&gt;"",TRIM(IFERROR(LEFT(B56,FIND("(",B56)-1),B56)),T55)</f>
        <v/>
      </c>
      <c r="U56" s="10" t="str">
        <f aca="false">IF(D56&lt;&gt;"",TRIM(IFERROR(LEFT(D56,FIND("(",D56)-1),D56)),U55)</f>
        <v/>
      </c>
      <c r="V56" s="10" t="str">
        <f aca="false">IF(F56&lt;&gt;"",TRIM(IFERROR(LEFT(F56,FIND("(",F56)-1),F56)),V55)</f>
        <v/>
      </c>
      <c r="W56" s="10" t="str">
        <f aca="false">IF(H56&lt;&gt;"",TRIM(IFERROR(LEFT(H56,FIND("(",H56)-1),H56)),W55)</f>
        <v/>
      </c>
      <c r="X56" s="10" t="str">
        <f aca="false">IF(J56&lt;&gt;"",TRIM(IFERROR(LEFT(J56,FIND("(",J56)-1),J56)),X55)</f>
        <v/>
      </c>
      <c r="Y56" s="10" t="str">
        <f aca="false">IF(L56&lt;&gt;"",TRIM(IFERROR(LEFT(L56,FIND("(",L56)-1),L56)),Y55)</f>
        <v/>
      </c>
      <c r="Z56" s="10" t="str">
        <f aca="false">IF(N56&lt;&gt;"",TRIM(IFERROR(LEFT(N56,FIND("(",N56)-1),N56)),Z55)</f>
        <v/>
      </c>
      <c r="AA56" s="10" t="str">
        <f aca="false">IF(P56&lt;&gt;"",TRIM(IFERROR(LEFT(P56,FIND("(",P56)-1),P56)),AA55)</f>
        <v/>
      </c>
      <c r="AD56" s="10" t="str">
        <f aca="false">IF(C56="","",IF(T56="","(sin responsabilidad)",T56))</f>
        <v/>
      </c>
      <c r="AE56" s="10" t="str">
        <f aca="false">IF(E56="","",IF(U56="","(sin responsabilidad)",U56))</f>
        <v/>
      </c>
      <c r="AF56" s="10" t="str">
        <f aca="false">IF(G56="","",IF(V56="","(sin responsabilidad)",V56))</f>
        <v/>
      </c>
      <c r="AG56" s="10" t="str">
        <f aca="false">IF(I56="","",IF(W56="","(sin responsabilidad)",W56))</f>
        <v/>
      </c>
      <c r="AH56" s="10" t="str">
        <f aca="false">IF(K56="","",IF(X56="","(sin responsabilidad)",X56))</f>
        <v/>
      </c>
      <c r="AI56" s="10" t="str">
        <f aca="false">IF(M56="","",IF(Y56="","(sin responsabilidad)",Y56))</f>
        <v/>
      </c>
      <c r="AJ56" s="10" t="str">
        <f aca="false">IF(O56="","",IF(Z56="","(sin responsabilidad)",Z56))</f>
        <v/>
      </c>
      <c r="AK56" s="10" t="str">
        <f aca="false">IF(Q56="","",IF(AA56="","(sin responsabilidad)",AA56))</f>
        <v/>
      </c>
      <c r="AN56" s="10" t="str">
        <f aca="false">IF(C56="","",TRIM(IFERROR(LEFT(C56,FIND("(",C56)-1),C56)))</f>
        <v/>
      </c>
      <c r="AO56" s="10" t="str">
        <f aca="false">IF(E56="","",TRIM(IFERROR(LEFT(E56,FIND("(",E56)-1),E56)))</f>
        <v/>
      </c>
      <c r="AP56" s="10" t="str">
        <f aca="false">IF(G56="","",TRIM(IFERROR(LEFT(G56,FIND("(",G56)-1),G56)))</f>
        <v/>
      </c>
      <c r="AQ56" s="10" t="str">
        <f aca="false">IF(I56="","",TRIM(IFERROR(LEFT(I56,FIND("(",I56)-1),I56)))</f>
        <v/>
      </c>
      <c r="AR56" s="10" t="str">
        <f aca="false">IF(K56="","",TRIM(IFERROR(LEFT(K56,FIND("(",K56)-1),K56)))</f>
        <v/>
      </c>
      <c r="AS56" s="10" t="str">
        <f aca="false">IF(M56="","",TRIM(IFERROR(LEFT(M56,FIND("(",M56)-1),M56)))</f>
        <v/>
      </c>
      <c r="AT56" s="10" t="str">
        <f aca="false">IF(O56="","",TRIM(IFERROR(LEFT(O56,FIND("(",O56)-1),O56)))</f>
        <v/>
      </c>
      <c r="AU56" s="10" t="str">
        <f aca="false">IF(Q56="","",TRIM(IFERROR(LEFT(Q56,FIND("(",Q56)-1),Q56)))</f>
        <v/>
      </c>
    </row>
    <row r="57" customFormat="false" ht="15" hidden="false" customHeight="false" outlineLevel="0" collapsed="false">
      <c r="A57" s="14" t="n">
        <v>43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T57" s="10" t="str">
        <f aca="false">IF(B57&lt;&gt;"",TRIM(IFERROR(LEFT(B57,FIND("(",B57)-1),B57)),T56)</f>
        <v/>
      </c>
      <c r="U57" s="10" t="str">
        <f aca="false">IF(D57&lt;&gt;"",TRIM(IFERROR(LEFT(D57,FIND("(",D57)-1),D57)),U56)</f>
        <v/>
      </c>
      <c r="V57" s="10" t="str">
        <f aca="false">IF(F57&lt;&gt;"",TRIM(IFERROR(LEFT(F57,FIND("(",F57)-1),F57)),V56)</f>
        <v/>
      </c>
      <c r="W57" s="10" t="str">
        <f aca="false">IF(H57&lt;&gt;"",TRIM(IFERROR(LEFT(H57,FIND("(",H57)-1),H57)),W56)</f>
        <v/>
      </c>
      <c r="X57" s="10" t="str">
        <f aca="false">IF(J57&lt;&gt;"",TRIM(IFERROR(LEFT(J57,FIND("(",J57)-1),J57)),X56)</f>
        <v/>
      </c>
      <c r="Y57" s="10" t="str">
        <f aca="false">IF(L57&lt;&gt;"",TRIM(IFERROR(LEFT(L57,FIND("(",L57)-1),L57)),Y56)</f>
        <v/>
      </c>
      <c r="Z57" s="10" t="str">
        <f aca="false">IF(N57&lt;&gt;"",TRIM(IFERROR(LEFT(N57,FIND("(",N57)-1),N57)),Z56)</f>
        <v/>
      </c>
      <c r="AA57" s="10" t="str">
        <f aca="false">IF(P57&lt;&gt;"",TRIM(IFERROR(LEFT(P57,FIND("(",P57)-1),P57)),AA56)</f>
        <v/>
      </c>
      <c r="AD57" s="10" t="str">
        <f aca="false">IF(C57="","",IF(T57="","(sin responsabilidad)",T57))</f>
        <v/>
      </c>
      <c r="AE57" s="10" t="str">
        <f aca="false">IF(E57="","",IF(U57="","(sin responsabilidad)",U57))</f>
        <v/>
      </c>
      <c r="AF57" s="10" t="str">
        <f aca="false">IF(G57="","",IF(V57="","(sin responsabilidad)",V57))</f>
        <v/>
      </c>
      <c r="AG57" s="10" t="str">
        <f aca="false">IF(I57="","",IF(W57="","(sin responsabilidad)",W57))</f>
        <v/>
      </c>
      <c r="AH57" s="10" t="str">
        <f aca="false">IF(K57="","",IF(X57="","(sin responsabilidad)",X57))</f>
        <v/>
      </c>
      <c r="AI57" s="10" t="str">
        <f aca="false">IF(M57="","",IF(Y57="","(sin responsabilidad)",Y57))</f>
        <v/>
      </c>
      <c r="AJ57" s="10" t="str">
        <f aca="false">IF(O57="","",IF(Z57="","(sin responsabilidad)",Z57))</f>
        <v/>
      </c>
      <c r="AK57" s="10" t="str">
        <f aca="false">IF(Q57="","",IF(AA57="","(sin responsabilidad)",AA57))</f>
        <v/>
      </c>
      <c r="AN57" s="10" t="str">
        <f aca="false">IF(C57="","",TRIM(IFERROR(LEFT(C57,FIND("(",C57)-1),C57)))</f>
        <v/>
      </c>
      <c r="AO57" s="10" t="str">
        <f aca="false">IF(E57="","",TRIM(IFERROR(LEFT(E57,FIND("(",E57)-1),E57)))</f>
        <v/>
      </c>
      <c r="AP57" s="10" t="str">
        <f aca="false">IF(G57="","",TRIM(IFERROR(LEFT(G57,FIND("(",G57)-1),G57)))</f>
        <v/>
      </c>
      <c r="AQ57" s="10" t="str">
        <f aca="false">IF(I57="","",TRIM(IFERROR(LEFT(I57,FIND("(",I57)-1),I57)))</f>
        <v/>
      </c>
      <c r="AR57" s="10" t="str">
        <f aca="false">IF(K57="","",TRIM(IFERROR(LEFT(K57,FIND("(",K57)-1),K57)))</f>
        <v/>
      </c>
      <c r="AS57" s="10" t="str">
        <f aca="false">IF(M57="","",TRIM(IFERROR(LEFT(M57,FIND("(",M57)-1),M57)))</f>
        <v/>
      </c>
      <c r="AT57" s="10" t="str">
        <f aca="false">IF(O57="","",TRIM(IFERROR(LEFT(O57,FIND("(",O57)-1),O57)))</f>
        <v/>
      </c>
      <c r="AU57" s="10" t="str">
        <f aca="false">IF(Q57="","",TRIM(IFERROR(LEFT(Q57,FIND("(",Q57)-1),Q57)))</f>
        <v/>
      </c>
    </row>
    <row r="58" customFormat="false" ht="15" hidden="false" customHeight="false" outlineLevel="0" collapsed="false">
      <c r="A58" s="14" t="n">
        <v>44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T58" s="10" t="str">
        <f aca="false">IF(B58&lt;&gt;"",TRIM(IFERROR(LEFT(B58,FIND("(",B58)-1),B58)),T57)</f>
        <v/>
      </c>
      <c r="U58" s="10" t="str">
        <f aca="false">IF(D58&lt;&gt;"",TRIM(IFERROR(LEFT(D58,FIND("(",D58)-1),D58)),U57)</f>
        <v/>
      </c>
      <c r="V58" s="10" t="str">
        <f aca="false">IF(F58&lt;&gt;"",TRIM(IFERROR(LEFT(F58,FIND("(",F58)-1),F58)),V57)</f>
        <v/>
      </c>
      <c r="W58" s="10" t="str">
        <f aca="false">IF(H58&lt;&gt;"",TRIM(IFERROR(LEFT(H58,FIND("(",H58)-1),H58)),W57)</f>
        <v/>
      </c>
      <c r="X58" s="10" t="str">
        <f aca="false">IF(J58&lt;&gt;"",TRIM(IFERROR(LEFT(J58,FIND("(",J58)-1),J58)),X57)</f>
        <v/>
      </c>
      <c r="Y58" s="10" t="str">
        <f aca="false">IF(L58&lt;&gt;"",TRIM(IFERROR(LEFT(L58,FIND("(",L58)-1),L58)),Y57)</f>
        <v/>
      </c>
      <c r="Z58" s="10" t="str">
        <f aca="false">IF(N58&lt;&gt;"",TRIM(IFERROR(LEFT(N58,FIND("(",N58)-1),N58)),Z57)</f>
        <v/>
      </c>
      <c r="AA58" s="10" t="str">
        <f aca="false">IF(P58&lt;&gt;"",TRIM(IFERROR(LEFT(P58,FIND("(",P58)-1),P58)),AA57)</f>
        <v/>
      </c>
      <c r="AD58" s="10" t="str">
        <f aca="false">IF(C58="","",IF(T58="","(sin responsabilidad)",T58))</f>
        <v/>
      </c>
      <c r="AE58" s="10" t="str">
        <f aca="false">IF(E58="","",IF(U58="","(sin responsabilidad)",U58))</f>
        <v/>
      </c>
      <c r="AF58" s="10" t="str">
        <f aca="false">IF(G58="","",IF(V58="","(sin responsabilidad)",V58))</f>
        <v/>
      </c>
      <c r="AG58" s="10" t="str">
        <f aca="false">IF(I58="","",IF(W58="","(sin responsabilidad)",W58))</f>
        <v/>
      </c>
      <c r="AH58" s="10" t="str">
        <f aca="false">IF(K58="","",IF(X58="","(sin responsabilidad)",X58))</f>
        <v/>
      </c>
      <c r="AI58" s="10" t="str">
        <f aca="false">IF(M58="","",IF(Y58="","(sin responsabilidad)",Y58))</f>
        <v/>
      </c>
      <c r="AJ58" s="10" t="str">
        <f aca="false">IF(O58="","",IF(Z58="","(sin responsabilidad)",Z58))</f>
        <v/>
      </c>
      <c r="AK58" s="10" t="str">
        <f aca="false">IF(Q58="","",IF(AA58="","(sin responsabilidad)",AA58))</f>
        <v/>
      </c>
      <c r="AN58" s="10" t="str">
        <f aca="false">IF(C58="","",TRIM(IFERROR(LEFT(C58,FIND("(",C58)-1),C58)))</f>
        <v/>
      </c>
      <c r="AO58" s="10" t="str">
        <f aca="false">IF(E58="","",TRIM(IFERROR(LEFT(E58,FIND("(",E58)-1),E58)))</f>
        <v/>
      </c>
      <c r="AP58" s="10" t="str">
        <f aca="false">IF(G58="","",TRIM(IFERROR(LEFT(G58,FIND("(",G58)-1),G58)))</f>
        <v/>
      </c>
      <c r="AQ58" s="10" t="str">
        <f aca="false">IF(I58="","",TRIM(IFERROR(LEFT(I58,FIND("(",I58)-1),I58)))</f>
        <v/>
      </c>
      <c r="AR58" s="10" t="str">
        <f aca="false">IF(K58="","",TRIM(IFERROR(LEFT(K58,FIND("(",K58)-1),K58)))</f>
        <v/>
      </c>
      <c r="AS58" s="10" t="str">
        <f aca="false">IF(M58="","",TRIM(IFERROR(LEFT(M58,FIND("(",M58)-1),M58)))</f>
        <v/>
      </c>
      <c r="AT58" s="10" t="str">
        <f aca="false">IF(O58="","",TRIM(IFERROR(LEFT(O58,FIND("(",O58)-1),O58)))</f>
        <v/>
      </c>
      <c r="AU58" s="10" t="str">
        <f aca="false">IF(Q58="","",TRIM(IFERROR(LEFT(Q58,FIND("(",Q58)-1),Q58)))</f>
        <v/>
      </c>
    </row>
    <row r="59" customFormat="false" ht="15" hidden="false" customHeight="false" outlineLevel="0" collapsed="false">
      <c r="A59" s="14" t="n">
        <v>45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T59" s="10" t="str">
        <f aca="false">IF(B59&lt;&gt;"",TRIM(IFERROR(LEFT(B59,FIND("(",B59)-1),B59)),T58)</f>
        <v/>
      </c>
      <c r="U59" s="10" t="str">
        <f aca="false">IF(D59&lt;&gt;"",TRIM(IFERROR(LEFT(D59,FIND("(",D59)-1),D59)),U58)</f>
        <v/>
      </c>
      <c r="V59" s="10" t="str">
        <f aca="false">IF(F59&lt;&gt;"",TRIM(IFERROR(LEFT(F59,FIND("(",F59)-1),F59)),V58)</f>
        <v/>
      </c>
      <c r="W59" s="10" t="str">
        <f aca="false">IF(H59&lt;&gt;"",TRIM(IFERROR(LEFT(H59,FIND("(",H59)-1),H59)),W58)</f>
        <v/>
      </c>
      <c r="X59" s="10" t="str">
        <f aca="false">IF(J59&lt;&gt;"",TRIM(IFERROR(LEFT(J59,FIND("(",J59)-1),J59)),X58)</f>
        <v/>
      </c>
      <c r="Y59" s="10" t="str">
        <f aca="false">IF(L59&lt;&gt;"",TRIM(IFERROR(LEFT(L59,FIND("(",L59)-1),L59)),Y58)</f>
        <v/>
      </c>
      <c r="Z59" s="10" t="str">
        <f aca="false">IF(N59&lt;&gt;"",TRIM(IFERROR(LEFT(N59,FIND("(",N59)-1),N59)),Z58)</f>
        <v/>
      </c>
      <c r="AA59" s="10" t="str">
        <f aca="false">IF(P59&lt;&gt;"",TRIM(IFERROR(LEFT(P59,FIND("(",P59)-1),P59)),AA58)</f>
        <v/>
      </c>
      <c r="AD59" s="10" t="str">
        <f aca="false">IF(C59="","",IF(T59="","(sin responsabilidad)",T59))</f>
        <v/>
      </c>
      <c r="AE59" s="10" t="str">
        <f aca="false">IF(E59="","",IF(U59="","(sin responsabilidad)",U59))</f>
        <v/>
      </c>
      <c r="AF59" s="10" t="str">
        <f aca="false">IF(G59="","",IF(V59="","(sin responsabilidad)",V59))</f>
        <v/>
      </c>
      <c r="AG59" s="10" t="str">
        <f aca="false">IF(I59="","",IF(W59="","(sin responsabilidad)",W59))</f>
        <v/>
      </c>
      <c r="AH59" s="10" t="str">
        <f aca="false">IF(K59="","",IF(X59="","(sin responsabilidad)",X59))</f>
        <v/>
      </c>
      <c r="AI59" s="10" t="str">
        <f aca="false">IF(M59="","",IF(Y59="","(sin responsabilidad)",Y59))</f>
        <v/>
      </c>
      <c r="AJ59" s="10" t="str">
        <f aca="false">IF(O59="","",IF(Z59="","(sin responsabilidad)",Z59))</f>
        <v/>
      </c>
      <c r="AK59" s="10" t="str">
        <f aca="false">IF(Q59="","",IF(AA59="","(sin responsabilidad)",AA59))</f>
        <v/>
      </c>
      <c r="AN59" s="10" t="str">
        <f aca="false">IF(C59="","",TRIM(IFERROR(LEFT(C59,FIND("(",C59)-1),C59)))</f>
        <v/>
      </c>
      <c r="AO59" s="10" t="str">
        <f aca="false">IF(E59="","",TRIM(IFERROR(LEFT(E59,FIND("(",E59)-1),E59)))</f>
        <v/>
      </c>
      <c r="AP59" s="10" t="str">
        <f aca="false">IF(G59="","",TRIM(IFERROR(LEFT(G59,FIND("(",G59)-1),G59)))</f>
        <v/>
      </c>
      <c r="AQ59" s="10" t="str">
        <f aca="false">IF(I59="","",TRIM(IFERROR(LEFT(I59,FIND("(",I59)-1),I59)))</f>
        <v/>
      </c>
      <c r="AR59" s="10" t="str">
        <f aca="false">IF(K59="","",TRIM(IFERROR(LEFT(K59,FIND("(",K59)-1),K59)))</f>
        <v/>
      </c>
      <c r="AS59" s="10" t="str">
        <f aca="false">IF(M59="","",TRIM(IFERROR(LEFT(M59,FIND("(",M59)-1),M59)))</f>
        <v/>
      </c>
      <c r="AT59" s="10" t="str">
        <f aca="false">IF(O59="","",TRIM(IFERROR(LEFT(O59,FIND("(",O59)-1),O59)))</f>
        <v/>
      </c>
      <c r="AU59" s="10" t="str">
        <f aca="false">IF(Q59="","",TRIM(IFERROR(LEFT(Q59,FIND("(",Q59)-1),Q59)))</f>
        <v/>
      </c>
    </row>
    <row r="60" customFormat="false" ht="15" hidden="false" customHeight="false" outlineLevel="0" collapsed="false">
      <c r="A60" s="14" t="n">
        <v>46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T60" s="10" t="str">
        <f aca="false">IF(B60&lt;&gt;"",TRIM(IFERROR(LEFT(B60,FIND("(",B60)-1),B60)),T59)</f>
        <v/>
      </c>
      <c r="U60" s="10" t="str">
        <f aca="false">IF(D60&lt;&gt;"",TRIM(IFERROR(LEFT(D60,FIND("(",D60)-1),D60)),U59)</f>
        <v/>
      </c>
      <c r="V60" s="10" t="str">
        <f aca="false">IF(F60&lt;&gt;"",TRIM(IFERROR(LEFT(F60,FIND("(",F60)-1),F60)),V59)</f>
        <v/>
      </c>
      <c r="W60" s="10" t="str">
        <f aca="false">IF(H60&lt;&gt;"",TRIM(IFERROR(LEFT(H60,FIND("(",H60)-1),H60)),W59)</f>
        <v/>
      </c>
      <c r="X60" s="10" t="str">
        <f aca="false">IF(J60&lt;&gt;"",TRIM(IFERROR(LEFT(J60,FIND("(",J60)-1),J60)),X59)</f>
        <v/>
      </c>
      <c r="Y60" s="10" t="str">
        <f aca="false">IF(L60&lt;&gt;"",TRIM(IFERROR(LEFT(L60,FIND("(",L60)-1),L60)),Y59)</f>
        <v/>
      </c>
      <c r="Z60" s="10" t="str">
        <f aca="false">IF(N60&lt;&gt;"",TRIM(IFERROR(LEFT(N60,FIND("(",N60)-1),N60)),Z59)</f>
        <v/>
      </c>
      <c r="AA60" s="10" t="str">
        <f aca="false">IF(P60&lt;&gt;"",TRIM(IFERROR(LEFT(P60,FIND("(",P60)-1),P60)),AA59)</f>
        <v/>
      </c>
      <c r="AD60" s="10" t="str">
        <f aca="false">IF(C60="","",IF(T60="","(sin responsabilidad)",T60))</f>
        <v/>
      </c>
      <c r="AE60" s="10" t="str">
        <f aca="false">IF(E60="","",IF(U60="","(sin responsabilidad)",U60))</f>
        <v/>
      </c>
      <c r="AF60" s="10" t="str">
        <f aca="false">IF(G60="","",IF(V60="","(sin responsabilidad)",V60))</f>
        <v/>
      </c>
      <c r="AG60" s="10" t="str">
        <f aca="false">IF(I60="","",IF(W60="","(sin responsabilidad)",W60))</f>
        <v/>
      </c>
      <c r="AH60" s="10" t="str">
        <f aca="false">IF(K60="","",IF(X60="","(sin responsabilidad)",X60))</f>
        <v/>
      </c>
      <c r="AI60" s="10" t="str">
        <f aca="false">IF(M60="","",IF(Y60="","(sin responsabilidad)",Y60))</f>
        <v/>
      </c>
      <c r="AJ60" s="10" t="str">
        <f aca="false">IF(O60="","",IF(Z60="","(sin responsabilidad)",Z60))</f>
        <v/>
      </c>
      <c r="AK60" s="10" t="str">
        <f aca="false">IF(Q60="","",IF(AA60="","(sin responsabilidad)",AA60))</f>
        <v/>
      </c>
      <c r="AN60" s="10" t="str">
        <f aca="false">IF(C60="","",TRIM(IFERROR(LEFT(C60,FIND("(",C60)-1),C60)))</f>
        <v/>
      </c>
      <c r="AO60" s="10" t="str">
        <f aca="false">IF(E60="","",TRIM(IFERROR(LEFT(E60,FIND("(",E60)-1),E60)))</f>
        <v/>
      </c>
      <c r="AP60" s="10" t="str">
        <f aca="false">IF(G60="","",TRIM(IFERROR(LEFT(G60,FIND("(",G60)-1),G60)))</f>
        <v/>
      </c>
      <c r="AQ60" s="10" t="str">
        <f aca="false">IF(I60="","",TRIM(IFERROR(LEFT(I60,FIND("(",I60)-1),I60)))</f>
        <v/>
      </c>
      <c r="AR60" s="10" t="str">
        <f aca="false">IF(K60="","",TRIM(IFERROR(LEFT(K60,FIND("(",K60)-1),K60)))</f>
        <v/>
      </c>
      <c r="AS60" s="10" t="str">
        <f aca="false">IF(M60="","",TRIM(IFERROR(LEFT(M60,FIND("(",M60)-1),M60)))</f>
        <v/>
      </c>
      <c r="AT60" s="10" t="str">
        <f aca="false">IF(O60="","",TRIM(IFERROR(LEFT(O60,FIND("(",O60)-1),O60)))</f>
        <v/>
      </c>
      <c r="AU60" s="10" t="str">
        <f aca="false">IF(Q60="","",TRIM(IFERROR(LEFT(Q60,FIND("(",Q60)-1),Q60)))</f>
        <v/>
      </c>
    </row>
    <row r="61" customFormat="false" ht="15" hidden="false" customHeight="false" outlineLevel="0" collapsed="false">
      <c r="A61" s="14" t="n">
        <v>47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T61" s="10" t="str">
        <f aca="false">IF(B61&lt;&gt;"",TRIM(IFERROR(LEFT(B61,FIND("(",B61)-1),B61)),T60)</f>
        <v/>
      </c>
      <c r="U61" s="10" t="str">
        <f aca="false">IF(D61&lt;&gt;"",TRIM(IFERROR(LEFT(D61,FIND("(",D61)-1),D61)),U60)</f>
        <v/>
      </c>
      <c r="V61" s="10" t="str">
        <f aca="false">IF(F61&lt;&gt;"",TRIM(IFERROR(LEFT(F61,FIND("(",F61)-1),F61)),V60)</f>
        <v/>
      </c>
      <c r="W61" s="10" t="str">
        <f aca="false">IF(H61&lt;&gt;"",TRIM(IFERROR(LEFT(H61,FIND("(",H61)-1),H61)),W60)</f>
        <v/>
      </c>
      <c r="X61" s="10" t="str">
        <f aca="false">IF(J61&lt;&gt;"",TRIM(IFERROR(LEFT(J61,FIND("(",J61)-1),J61)),X60)</f>
        <v/>
      </c>
      <c r="Y61" s="10" t="str">
        <f aca="false">IF(L61&lt;&gt;"",TRIM(IFERROR(LEFT(L61,FIND("(",L61)-1),L61)),Y60)</f>
        <v/>
      </c>
      <c r="Z61" s="10" t="str">
        <f aca="false">IF(N61&lt;&gt;"",TRIM(IFERROR(LEFT(N61,FIND("(",N61)-1),N61)),Z60)</f>
        <v/>
      </c>
      <c r="AA61" s="10" t="str">
        <f aca="false">IF(P61&lt;&gt;"",TRIM(IFERROR(LEFT(P61,FIND("(",P61)-1),P61)),AA60)</f>
        <v/>
      </c>
      <c r="AD61" s="10" t="str">
        <f aca="false">IF(C61="","",IF(T61="","(sin responsabilidad)",T61))</f>
        <v/>
      </c>
      <c r="AE61" s="10" t="str">
        <f aca="false">IF(E61="","",IF(U61="","(sin responsabilidad)",U61))</f>
        <v/>
      </c>
      <c r="AF61" s="10" t="str">
        <f aca="false">IF(G61="","",IF(V61="","(sin responsabilidad)",V61))</f>
        <v/>
      </c>
      <c r="AG61" s="10" t="str">
        <f aca="false">IF(I61="","",IF(W61="","(sin responsabilidad)",W61))</f>
        <v/>
      </c>
      <c r="AH61" s="10" t="str">
        <f aca="false">IF(K61="","",IF(X61="","(sin responsabilidad)",X61))</f>
        <v/>
      </c>
      <c r="AI61" s="10" t="str">
        <f aca="false">IF(M61="","",IF(Y61="","(sin responsabilidad)",Y61))</f>
        <v/>
      </c>
      <c r="AJ61" s="10" t="str">
        <f aca="false">IF(O61="","",IF(Z61="","(sin responsabilidad)",Z61))</f>
        <v/>
      </c>
      <c r="AK61" s="10" t="str">
        <f aca="false">IF(Q61="","",IF(AA61="","(sin responsabilidad)",AA61))</f>
        <v/>
      </c>
      <c r="AN61" s="10" t="str">
        <f aca="false">IF(C61="","",TRIM(IFERROR(LEFT(C61,FIND("(",C61)-1),C61)))</f>
        <v/>
      </c>
      <c r="AO61" s="10" t="str">
        <f aca="false">IF(E61="","",TRIM(IFERROR(LEFT(E61,FIND("(",E61)-1),E61)))</f>
        <v/>
      </c>
      <c r="AP61" s="10" t="str">
        <f aca="false">IF(G61="","",TRIM(IFERROR(LEFT(G61,FIND("(",G61)-1),G61)))</f>
        <v/>
      </c>
      <c r="AQ61" s="10" t="str">
        <f aca="false">IF(I61="","",TRIM(IFERROR(LEFT(I61,FIND("(",I61)-1),I61)))</f>
        <v/>
      </c>
      <c r="AR61" s="10" t="str">
        <f aca="false">IF(K61="","",TRIM(IFERROR(LEFT(K61,FIND("(",K61)-1),K61)))</f>
        <v/>
      </c>
      <c r="AS61" s="10" t="str">
        <f aca="false">IF(M61="","",TRIM(IFERROR(LEFT(M61,FIND("(",M61)-1),M61)))</f>
        <v/>
      </c>
      <c r="AT61" s="10" t="str">
        <f aca="false">IF(O61="","",TRIM(IFERROR(LEFT(O61,FIND("(",O61)-1),O61)))</f>
        <v/>
      </c>
      <c r="AU61" s="10" t="str">
        <f aca="false">IF(Q61="","",TRIM(IFERROR(LEFT(Q61,FIND("(",Q61)-1),Q61)))</f>
        <v/>
      </c>
    </row>
    <row r="62" customFormat="false" ht="15" hidden="false" customHeight="false" outlineLevel="0" collapsed="false">
      <c r="A62" s="14" t="n">
        <v>48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T62" s="10" t="str">
        <f aca="false">IF(B62&lt;&gt;"",TRIM(IFERROR(LEFT(B62,FIND("(",B62)-1),B62)),T61)</f>
        <v/>
      </c>
      <c r="U62" s="10" t="str">
        <f aca="false">IF(D62&lt;&gt;"",TRIM(IFERROR(LEFT(D62,FIND("(",D62)-1),D62)),U61)</f>
        <v/>
      </c>
      <c r="V62" s="10" t="str">
        <f aca="false">IF(F62&lt;&gt;"",TRIM(IFERROR(LEFT(F62,FIND("(",F62)-1),F62)),V61)</f>
        <v/>
      </c>
      <c r="W62" s="10" t="str">
        <f aca="false">IF(H62&lt;&gt;"",TRIM(IFERROR(LEFT(H62,FIND("(",H62)-1),H62)),W61)</f>
        <v/>
      </c>
      <c r="X62" s="10" t="str">
        <f aca="false">IF(J62&lt;&gt;"",TRIM(IFERROR(LEFT(J62,FIND("(",J62)-1),J62)),X61)</f>
        <v/>
      </c>
      <c r="Y62" s="10" t="str">
        <f aca="false">IF(L62&lt;&gt;"",TRIM(IFERROR(LEFT(L62,FIND("(",L62)-1),L62)),Y61)</f>
        <v/>
      </c>
      <c r="Z62" s="10" t="str">
        <f aca="false">IF(N62&lt;&gt;"",TRIM(IFERROR(LEFT(N62,FIND("(",N62)-1),N62)),Z61)</f>
        <v/>
      </c>
      <c r="AA62" s="10" t="str">
        <f aca="false">IF(P62&lt;&gt;"",TRIM(IFERROR(LEFT(P62,FIND("(",P62)-1),P62)),AA61)</f>
        <v/>
      </c>
      <c r="AD62" s="10" t="str">
        <f aca="false">IF(C62="","",IF(T62="","(sin responsabilidad)",T62))</f>
        <v/>
      </c>
      <c r="AE62" s="10" t="str">
        <f aca="false">IF(E62="","",IF(U62="","(sin responsabilidad)",U62))</f>
        <v/>
      </c>
      <c r="AF62" s="10" t="str">
        <f aca="false">IF(G62="","",IF(V62="","(sin responsabilidad)",V62))</f>
        <v/>
      </c>
      <c r="AG62" s="10" t="str">
        <f aca="false">IF(I62="","",IF(W62="","(sin responsabilidad)",W62))</f>
        <v/>
      </c>
      <c r="AH62" s="10" t="str">
        <f aca="false">IF(K62="","",IF(X62="","(sin responsabilidad)",X62))</f>
        <v/>
      </c>
      <c r="AI62" s="10" t="str">
        <f aca="false">IF(M62="","",IF(Y62="","(sin responsabilidad)",Y62))</f>
        <v/>
      </c>
      <c r="AJ62" s="10" t="str">
        <f aca="false">IF(O62="","",IF(Z62="","(sin responsabilidad)",Z62))</f>
        <v/>
      </c>
      <c r="AK62" s="10" t="str">
        <f aca="false">IF(Q62="","",IF(AA62="","(sin responsabilidad)",AA62))</f>
        <v/>
      </c>
      <c r="AN62" s="10" t="str">
        <f aca="false">IF(C62="","",TRIM(IFERROR(LEFT(C62,FIND("(",C62)-1),C62)))</f>
        <v/>
      </c>
      <c r="AO62" s="10" t="str">
        <f aca="false">IF(E62="","",TRIM(IFERROR(LEFT(E62,FIND("(",E62)-1),E62)))</f>
        <v/>
      </c>
      <c r="AP62" s="10" t="str">
        <f aca="false">IF(G62="","",TRIM(IFERROR(LEFT(G62,FIND("(",G62)-1),G62)))</f>
        <v/>
      </c>
      <c r="AQ62" s="10" t="str">
        <f aca="false">IF(I62="","",TRIM(IFERROR(LEFT(I62,FIND("(",I62)-1),I62)))</f>
        <v/>
      </c>
      <c r="AR62" s="10" t="str">
        <f aca="false">IF(K62="","",TRIM(IFERROR(LEFT(K62,FIND("(",K62)-1),K62)))</f>
        <v/>
      </c>
      <c r="AS62" s="10" t="str">
        <f aca="false">IF(M62="","",TRIM(IFERROR(LEFT(M62,FIND("(",M62)-1),M62)))</f>
        <v/>
      </c>
      <c r="AT62" s="10" t="str">
        <f aca="false">IF(O62="","",TRIM(IFERROR(LEFT(O62,FIND("(",O62)-1),O62)))</f>
        <v/>
      </c>
      <c r="AU62" s="10" t="str">
        <f aca="false">IF(Q62="","",TRIM(IFERROR(LEFT(Q62,FIND("(",Q62)-1),Q62)))</f>
        <v/>
      </c>
    </row>
    <row r="63" customFormat="false" ht="15" hidden="false" customHeight="false" outlineLevel="0" collapsed="false">
      <c r="A63" s="14" t="n">
        <v>49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T63" s="10" t="str">
        <f aca="false">IF(B63&lt;&gt;"",TRIM(IFERROR(LEFT(B63,FIND("(",B63)-1),B63)),T62)</f>
        <v/>
      </c>
      <c r="U63" s="10" t="str">
        <f aca="false">IF(D63&lt;&gt;"",TRIM(IFERROR(LEFT(D63,FIND("(",D63)-1),D63)),U62)</f>
        <v/>
      </c>
      <c r="V63" s="10" t="str">
        <f aca="false">IF(F63&lt;&gt;"",TRIM(IFERROR(LEFT(F63,FIND("(",F63)-1),F63)),V62)</f>
        <v/>
      </c>
      <c r="W63" s="10" t="str">
        <f aca="false">IF(H63&lt;&gt;"",TRIM(IFERROR(LEFT(H63,FIND("(",H63)-1),H63)),W62)</f>
        <v/>
      </c>
      <c r="X63" s="10" t="str">
        <f aca="false">IF(J63&lt;&gt;"",TRIM(IFERROR(LEFT(J63,FIND("(",J63)-1),J63)),X62)</f>
        <v/>
      </c>
      <c r="Y63" s="10" t="str">
        <f aca="false">IF(L63&lt;&gt;"",TRIM(IFERROR(LEFT(L63,FIND("(",L63)-1),L63)),Y62)</f>
        <v/>
      </c>
      <c r="Z63" s="10" t="str">
        <f aca="false">IF(N63&lt;&gt;"",TRIM(IFERROR(LEFT(N63,FIND("(",N63)-1),N63)),Z62)</f>
        <v/>
      </c>
      <c r="AA63" s="10" t="str">
        <f aca="false">IF(P63&lt;&gt;"",TRIM(IFERROR(LEFT(P63,FIND("(",P63)-1),P63)),AA62)</f>
        <v/>
      </c>
      <c r="AD63" s="10" t="str">
        <f aca="false">IF(C63="","",IF(T63="","(sin responsabilidad)",T63))</f>
        <v/>
      </c>
      <c r="AE63" s="10" t="str">
        <f aca="false">IF(E63="","",IF(U63="","(sin responsabilidad)",U63))</f>
        <v/>
      </c>
      <c r="AF63" s="10" t="str">
        <f aca="false">IF(G63="","",IF(V63="","(sin responsabilidad)",V63))</f>
        <v/>
      </c>
      <c r="AG63" s="10" t="str">
        <f aca="false">IF(I63="","",IF(W63="","(sin responsabilidad)",W63))</f>
        <v/>
      </c>
      <c r="AH63" s="10" t="str">
        <f aca="false">IF(K63="","",IF(X63="","(sin responsabilidad)",X63))</f>
        <v/>
      </c>
      <c r="AI63" s="10" t="str">
        <f aca="false">IF(M63="","",IF(Y63="","(sin responsabilidad)",Y63))</f>
        <v/>
      </c>
      <c r="AJ63" s="10" t="str">
        <f aca="false">IF(O63="","",IF(Z63="","(sin responsabilidad)",Z63))</f>
        <v/>
      </c>
      <c r="AK63" s="10" t="str">
        <f aca="false">IF(Q63="","",IF(AA63="","(sin responsabilidad)",AA63))</f>
        <v/>
      </c>
      <c r="AN63" s="10" t="str">
        <f aca="false">IF(C63="","",TRIM(IFERROR(LEFT(C63,FIND("(",C63)-1),C63)))</f>
        <v/>
      </c>
      <c r="AO63" s="10" t="str">
        <f aca="false">IF(E63="","",TRIM(IFERROR(LEFT(E63,FIND("(",E63)-1),E63)))</f>
        <v/>
      </c>
      <c r="AP63" s="10" t="str">
        <f aca="false">IF(G63="","",TRIM(IFERROR(LEFT(G63,FIND("(",G63)-1),G63)))</f>
        <v/>
      </c>
      <c r="AQ63" s="10" t="str">
        <f aca="false">IF(I63="","",TRIM(IFERROR(LEFT(I63,FIND("(",I63)-1),I63)))</f>
        <v/>
      </c>
      <c r="AR63" s="10" t="str">
        <f aca="false">IF(K63="","",TRIM(IFERROR(LEFT(K63,FIND("(",K63)-1),K63)))</f>
        <v/>
      </c>
      <c r="AS63" s="10" t="str">
        <f aca="false">IF(M63="","",TRIM(IFERROR(LEFT(M63,FIND("(",M63)-1),M63)))</f>
        <v/>
      </c>
      <c r="AT63" s="10" t="str">
        <f aca="false">IF(O63="","",TRIM(IFERROR(LEFT(O63,FIND("(",O63)-1),O63)))</f>
        <v/>
      </c>
      <c r="AU63" s="10" t="str">
        <f aca="false">IF(Q63="","",TRIM(IFERROR(LEFT(Q63,FIND("(",Q63)-1),Q63)))</f>
        <v/>
      </c>
    </row>
    <row r="64" customFormat="false" ht="15" hidden="false" customHeight="false" outlineLevel="0" collapsed="false">
      <c r="A64" s="14" t="n">
        <v>50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T64" s="10" t="str">
        <f aca="false">IF(B64&lt;&gt;"",TRIM(IFERROR(LEFT(B64,FIND("(",B64)-1),B64)),T63)</f>
        <v/>
      </c>
      <c r="U64" s="10" t="str">
        <f aca="false">IF(D64&lt;&gt;"",TRIM(IFERROR(LEFT(D64,FIND("(",D64)-1),D64)),U63)</f>
        <v/>
      </c>
      <c r="V64" s="10" t="str">
        <f aca="false">IF(F64&lt;&gt;"",TRIM(IFERROR(LEFT(F64,FIND("(",F64)-1),F64)),V63)</f>
        <v/>
      </c>
      <c r="W64" s="10" t="str">
        <f aca="false">IF(H64&lt;&gt;"",TRIM(IFERROR(LEFT(H64,FIND("(",H64)-1),H64)),W63)</f>
        <v/>
      </c>
      <c r="X64" s="10" t="str">
        <f aca="false">IF(J64&lt;&gt;"",TRIM(IFERROR(LEFT(J64,FIND("(",J64)-1),J64)),X63)</f>
        <v/>
      </c>
      <c r="Y64" s="10" t="str">
        <f aca="false">IF(L64&lt;&gt;"",TRIM(IFERROR(LEFT(L64,FIND("(",L64)-1),L64)),Y63)</f>
        <v/>
      </c>
      <c r="Z64" s="10" t="str">
        <f aca="false">IF(N64&lt;&gt;"",TRIM(IFERROR(LEFT(N64,FIND("(",N64)-1),N64)),Z63)</f>
        <v/>
      </c>
      <c r="AA64" s="10" t="str">
        <f aca="false">IF(P64&lt;&gt;"",TRIM(IFERROR(LEFT(P64,FIND("(",P64)-1),P64)),AA63)</f>
        <v/>
      </c>
      <c r="AD64" s="10" t="str">
        <f aca="false">IF(C64="","",IF(T64="","(sin responsabilidad)",T64))</f>
        <v/>
      </c>
      <c r="AE64" s="10" t="str">
        <f aca="false">IF(E64="","",IF(U64="","(sin responsabilidad)",U64))</f>
        <v/>
      </c>
      <c r="AF64" s="10" t="str">
        <f aca="false">IF(G64="","",IF(V64="","(sin responsabilidad)",V64))</f>
        <v/>
      </c>
      <c r="AG64" s="10" t="str">
        <f aca="false">IF(I64="","",IF(W64="","(sin responsabilidad)",W64))</f>
        <v/>
      </c>
      <c r="AH64" s="10" t="str">
        <f aca="false">IF(K64="","",IF(X64="","(sin responsabilidad)",X64))</f>
        <v/>
      </c>
      <c r="AI64" s="10" t="str">
        <f aca="false">IF(M64="","",IF(Y64="","(sin responsabilidad)",Y64))</f>
        <v/>
      </c>
      <c r="AJ64" s="10" t="str">
        <f aca="false">IF(O64="","",IF(Z64="","(sin responsabilidad)",Z64))</f>
        <v/>
      </c>
      <c r="AK64" s="10" t="str">
        <f aca="false">IF(Q64="","",IF(AA64="","(sin responsabilidad)",AA64))</f>
        <v/>
      </c>
      <c r="AN64" s="10" t="str">
        <f aca="false">IF(C64="","",TRIM(IFERROR(LEFT(C64,FIND("(",C64)-1),C64)))</f>
        <v/>
      </c>
      <c r="AO64" s="10" t="str">
        <f aca="false">IF(E64="","",TRIM(IFERROR(LEFT(E64,FIND("(",E64)-1),E64)))</f>
        <v/>
      </c>
      <c r="AP64" s="10" t="str">
        <f aca="false">IF(G64="","",TRIM(IFERROR(LEFT(G64,FIND("(",G64)-1),G64)))</f>
        <v/>
      </c>
      <c r="AQ64" s="10" t="str">
        <f aca="false">IF(I64="","",TRIM(IFERROR(LEFT(I64,FIND("(",I64)-1),I64)))</f>
        <v/>
      </c>
      <c r="AR64" s="10" t="str">
        <f aca="false">IF(K64="","",TRIM(IFERROR(LEFT(K64,FIND("(",K64)-1),K64)))</f>
        <v/>
      </c>
      <c r="AS64" s="10" t="str">
        <f aca="false">IF(M64="","",TRIM(IFERROR(LEFT(M64,FIND("(",M64)-1),M64)))</f>
        <v/>
      </c>
      <c r="AT64" s="10" t="str">
        <f aca="false">IF(O64="","",TRIM(IFERROR(LEFT(O64,FIND("(",O64)-1),O64)))</f>
        <v/>
      </c>
      <c r="AU64" s="10" t="str">
        <f aca="false">IF(Q64="","",TRIM(IFERROR(LEFT(Q64,FIND("(",Q64)-1),Q64)))</f>
        <v/>
      </c>
    </row>
  </sheetData>
  <mergeCells count="49">
    <mergeCell ref="C1:D1"/>
    <mergeCell ref="B3:C3"/>
    <mergeCell ref="D3:E3"/>
    <mergeCell ref="F3:G3"/>
    <mergeCell ref="H3:I3"/>
    <mergeCell ref="J3:K3"/>
    <mergeCell ref="L3:M3"/>
    <mergeCell ref="N3:O3"/>
    <mergeCell ref="P3:Q3"/>
    <mergeCell ref="B4:C4"/>
    <mergeCell ref="D4:E4"/>
    <mergeCell ref="F4:G4"/>
    <mergeCell ref="H4:I4"/>
    <mergeCell ref="J4:K4"/>
    <mergeCell ref="L4:M4"/>
    <mergeCell ref="N4:O4"/>
    <mergeCell ref="P4:Q4"/>
    <mergeCell ref="B6:C6"/>
    <mergeCell ref="D6:E6"/>
    <mergeCell ref="F6:G6"/>
    <mergeCell ref="H6:I6"/>
    <mergeCell ref="J6:K6"/>
    <mergeCell ref="L6:M6"/>
    <mergeCell ref="N6:O6"/>
    <mergeCell ref="P6:Q6"/>
    <mergeCell ref="B11:C11"/>
    <mergeCell ref="D11:E11"/>
    <mergeCell ref="F11:G11"/>
    <mergeCell ref="H11:I11"/>
    <mergeCell ref="J11:K11"/>
    <mergeCell ref="L11:M11"/>
    <mergeCell ref="N11:O11"/>
    <mergeCell ref="P11:Q11"/>
    <mergeCell ref="B12:C12"/>
    <mergeCell ref="D12:E12"/>
    <mergeCell ref="F12:G12"/>
    <mergeCell ref="H12:I12"/>
    <mergeCell ref="J12:K12"/>
    <mergeCell ref="L12:M12"/>
    <mergeCell ref="N12:O12"/>
    <mergeCell ref="P12:Q12"/>
    <mergeCell ref="B13:C13"/>
    <mergeCell ref="D13:E13"/>
    <mergeCell ref="F13:G13"/>
    <mergeCell ref="H13:I13"/>
    <mergeCell ref="J13:K13"/>
    <mergeCell ref="L13:M13"/>
    <mergeCell ref="N13:O13"/>
    <mergeCell ref="P13:Q13"/>
  </mergeCells>
  <conditionalFormatting sqref="B15:B64">
    <cfRule type="expression" priority="2" aboveAverage="0" equalAverage="0" bottom="0" percent="0" rank="0" text="" dxfId="0">
      <formula>B15&lt;&gt;""</formula>
    </cfRule>
  </conditionalFormatting>
  <conditionalFormatting sqref="C15:C64">
    <cfRule type="expression" priority="3" aboveAverage="0" equalAverage="0" bottom="0" percent="0" rank="0" text="" dxfId="1">
      <formula>AND(C15&lt;&gt;"",COUNTIF($AN$6:$AU$64,TRIM(IFERROR(LEFT(C15,FIND("(",C15)-1),C15)))&gt;1)</formula>
    </cfRule>
  </conditionalFormatting>
  <conditionalFormatting sqref="B6">
    <cfRule type="expression" priority="4" aboveAverage="0" equalAverage="0" bottom="0" percent="0" rank="0" text="" dxfId="1">
      <formula>AND(B6&lt;&gt;"",COUNTIF($AN$6:$AU$64,TRIM(IFERROR(LEFT(B6,FIND("(",B6)-1),B6)))&gt;1)</formula>
    </cfRule>
  </conditionalFormatting>
  <conditionalFormatting sqref="D15:D64">
    <cfRule type="expression" priority="5" aboveAverage="0" equalAverage="0" bottom="0" percent="0" rank="0" text="" dxfId="0">
      <formula>D15&lt;&gt;""</formula>
    </cfRule>
  </conditionalFormatting>
  <conditionalFormatting sqref="E15:E64">
    <cfRule type="expression" priority="6" aboveAverage="0" equalAverage="0" bottom="0" percent="0" rank="0" text="" dxfId="1">
      <formula>AND(E15&lt;&gt;"",COUNTIF($AN$6:$AU$64,TRIM(IFERROR(LEFT(E15,FIND("(",E15)-1),E15)))&gt;1)</formula>
    </cfRule>
  </conditionalFormatting>
  <conditionalFormatting sqref="D6">
    <cfRule type="expression" priority="7" aboveAverage="0" equalAverage="0" bottom="0" percent="0" rank="0" text="" dxfId="1">
      <formula>AND(D6&lt;&gt;"",COUNTIF($AN$6:$AU$64,TRIM(IFERROR(LEFT(D6,FIND("(",D6)-1),D6)))&gt;1)</formula>
    </cfRule>
  </conditionalFormatting>
  <conditionalFormatting sqref="F15:F64">
    <cfRule type="expression" priority="8" aboveAverage="0" equalAverage="0" bottom="0" percent="0" rank="0" text="" dxfId="0">
      <formula>F15&lt;&gt;""</formula>
    </cfRule>
  </conditionalFormatting>
  <conditionalFormatting sqref="G15:G64">
    <cfRule type="expression" priority="9" aboveAverage="0" equalAverage="0" bottom="0" percent="0" rank="0" text="" dxfId="1">
      <formula>AND(G15&lt;&gt;"",COUNTIF($AN$6:$AU$64,TRIM(IFERROR(LEFT(G15,FIND("(",G15)-1),G15)))&gt;1)</formula>
    </cfRule>
  </conditionalFormatting>
  <conditionalFormatting sqref="F6">
    <cfRule type="expression" priority="10" aboveAverage="0" equalAverage="0" bottom="0" percent="0" rank="0" text="" dxfId="1">
      <formula>AND(F6&lt;&gt;"",COUNTIF($AN$6:$AU$64,TRIM(IFERROR(LEFT(F6,FIND("(",F6)-1),F6)))&gt;1)</formula>
    </cfRule>
  </conditionalFormatting>
  <conditionalFormatting sqref="H15:H64">
    <cfRule type="expression" priority="11" aboveAverage="0" equalAverage="0" bottom="0" percent="0" rank="0" text="" dxfId="0">
      <formula>H15&lt;&gt;""</formula>
    </cfRule>
  </conditionalFormatting>
  <conditionalFormatting sqref="I15:I64">
    <cfRule type="expression" priority="12" aboveAverage="0" equalAverage="0" bottom="0" percent="0" rank="0" text="" dxfId="1">
      <formula>AND(I15&lt;&gt;"",COUNTIF($AN$6:$AU$64,TRIM(IFERROR(LEFT(I15,FIND("(",I15)-1),I15)))&gt;1)</formula>
    </cfRule>
  </conditionalFormatting>
  <conditionalFormatting sqref="H6">
    <cfRule type="expression" priority="13" aboveAverage="0" equalAverage="0" bottom="0" percent="0" rank="0" text="" dxfId="1">
      <formula>AND(H6&lt;&gt;"",COUNTIF($AN$6:$AU$64,TRIM(IFERROR(LEFT(H6,FIND("(",H6)-1),H6)))&gt;1)</formula>
    </cfRule>
  </conditionalFormatting>
  <conditionalFormatting sqref="J15:J64">
    <cfRule type="expression" priority="14" aboveAverage="0" equalAverage="0" bottom="0" percent="0" rank="0" text="" dxfId="0">
      <formula>J15&lt;&gt;""</formula>
    </cfRule>
  </conditionalFormatting>
  <conditionalFormatting sqref="K15:K64">
    <cfRule type="expression" priority="15" aboveAverage="0" equalAverage="0" bottom="0" percent="0" rank="0" text="" dxfId="1">
      <formula>AND(K15&lt;&gt;"",COUNTIF($AN$6:$AU$64,TRIM(IFERROR(LEFT(K15,FIND("(",K15)-1),K15)))&gt;1)</formula>
    </cfRule>
  </conditionalFormatting>
  <conditionalFormatting sqref="J6">
    <cfRule type="expression" priority="16" aboveAverage="0" equalAverage="0" bottom="0" percent="0" rank="0" text="" dxfId="1">
      <formula>AND(J6&lt;&gt;"",COUNTIF($AN$6:$AU$64,TRIM(IFERROR(LEFT(J6,FIND("(",J6)-1),J6)))&gt;1)</formula>
    </cfRule>
  </conditionalFormatting>
  <conditionalFormatting sqref="L15:L64">
    <cfRule type="expression" priority="17" aboveAverage="0" equalAverage="0" bottom="0" percent="0" rank="0" text="" dxfId="0">
      <formula>L15&lt;&gt;""</formula>
    </cfRule>
  </conditionalFormatting>
  <conditionalFormatting sqref="M15:M64">
    <cfRule type="expression" priority="18" aboveAverage="0" equalAverage="0" bottom="0" percent="0" rank="0" text="" dxfId="1">
      <formula>AND(M15&lt;&gt;"",COUNTIF($AN$6:$AU$64,TRIM(IFERROR(LEFT(M15,FIND("(",M15)-1),M15)))&gt;1)</formula>
    </cfRule>
  </conditionalFormatting>
  <conditionalFormatting sqref="L6">
    <cfRule type="expression" priority="19" aboveAverage="0" equalAverage="0" bottom="0" percent="0" rank="0" text="" dxfId="1">
      <formula>AND(L6&lt;&gt;"",COUNTIF($AN$6:$AU$64,TRIM(IFERROR(LEFT(L6,FIND("(",L6)-1),L6)))&gt;1)</formula>
    </cfRule>
  </conditionalFormatting>
  <conditionalFormatting sqref="N15:N64">
    <cfRule type="expression" priority="20" aboveAverage="0" equalAverage="0" bottom="0" percent="0" rank="0" text="" dxfId="0">
      <formula>N15&lt;&gt;""</formula>
    </cfRule>
  </conditionalFormatting>
  <conditionalFormatting sqref="O15:O64">
    <cfRule type="expression" priority="21" aboveAverage="0" equalAverage="0" bottom="0" percent="0" rank="0" text="" dxfId="1">
      <formula>AND(O15&lt;&gt;"",COUNTIF($AN$6:$AU$64,TRIM(IFERROR(LEFT(O15,FIND("(",O15)-1),O15)))&gt;1)</formula>
    </cfRule>
  </conditionalFormatting>
  <conditionalFormatting sqref="N6">
    <cfRule type="expression" priority="22" aboveAverage="0" equalAverage="0" bottom="0" percent="0" rank="0" text="" dxfId="1">
      <formula>AND(N6&lt;&gt;"",COUNTIF($AN$6:$AU$64,TRIM(IFERROR(LEFT(N6,FIND("(",N6)-1),N6)))&gt;1)</formula>
    </cfRule>
  </conditionalFormatting>
  <conditionalFormatting sqref="P15:P64">
    <cfRule type="expression" priority="23" aboveAverage="0" equalAverage="0" bottom="0" percent="0" rank="0" text="" dxfId="0">
      <formula>P15&lt;&gt;""</formula>
    </cfRule>
  </conditionalFormatting>
  <conditionalFormatting sqref="Q15:Q64">
    <cfRule type="expression" priority="24" aboveAverage="0" equalAverage="0" bottom="0" percent="0" rank="0" text="" dxfId="1">
      <formula>AND(Q15&lt;&gt;"",COUNTIF($AN$6:$AU$64,TRIM(IFERROR(LEFT(Q15,FIND("(",Q15)-1),Q15)))&gt;1)</formula>
    </cfRule>
  </conditionalFormatting>
  <conditionalFormatting sqref="P6">
    <cfRule type="expression" priority="25" aboveAverage="0" equalAverage="0" bottom="0" percent="0" rank="0" text="" dxfId="1">
      <formula>AND(P6&lt;&gt;"",COUNTIF($AN$6:$AU$64,TRIM(IFERROR(LEFT(P6,FIND("(",P6)-1),P6)))&gt;1)</formula>
    </cfRule>
  </conditionalFormatting>
  <dataValidations count="3">
    <dataValidation allowBlank="true" error="Esta responsabilidad no está en Listas. ¿Agregarla? / Not on the Listas tab." errorStyle="warning" errorTitle="No está en la lista" operator="between" showDropDown="false" showErrorMessage="true" showInputMessage="false" sqref="B15:B64 D15:D64 F15:F64 H15:H64 J15:J64 L15:L64 N15:N64 P15:P64" type="list">
      <formula1>Listas!$A$2:$A$60</formula1>
      <formula2>0</formula2>
    </dataValidation>
    <dataValidation allowBlank="true" error="Este nombre no está en Personal (Connecteam). Revisa cómo se escribe. / Name not on the roster." errorStyle="warning" errorTitle="No está en la lista" operator="between" showDropDown="false" showErrorMessage="true" showInputMessage="false" sqref="B6 D6 F6 H6 J6 L6 N6 P6 C15:C64 E15:E64 G15:G64 I15:I64 K15:K64 M15:M64 O15:O64 Q15:Q64" type="list">
      <formula1>Personal!$A$2:$A$400</formula1>
      <formula2>0</formula2>
    </dataValidation>
    <dataValidation allowBlank="true" error="Sitio nuevo: escríbelo en Notas también." errorStyle="warning" errorTitle="No está en la lista" operator="between" showDropDown="false" showErrorMessage="true" showInputMessage="false" sqref="B4 D4 F4 H4 J4 L4 N4 P4" type="list">
      <formula1>Listas!$E$2:$E$12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BFBF"/>
    <pageSetUpPr fitToPage="false"/>
  </sheetPr>
  <dimension ref="A1:AU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16"/>
    <col collapsed="false" customWidth="true" hidden="false" outlineLevel="0" max="7" min="7" style="0" width="24"/>
    <col collapsed="false" customWidth="true" hidden="false" outlineLevel="0" max="8" min="8" style="0" width="16"/>
    <col collapsed="false" customWidth="true" hidden="false" outlineLevel="0" max="9" min="9" style="0" width="24"/>
    <col collapsed="false" customWidth="true" hidden="false" outlineLevel="0" max="10" min="10" style="0" width="16"/>
    <col collapsed="false" customWidth="true" hidden="false" outlineLevel="0" max="11" min="11" style="0" width="24"/>
    <col collapsed="false" customWidth="true" hidden="false" outlineLevel="0" max="12" min="12" style="0" width="16"/>
    <col collapsed="false" customWidth="true" hidden="false" outlineLevel="0" max="13" min="13" style="0" width="24"/>
    <col collapsed="false" customWidth="true" hidden="false" outlineLevel="0" max="14" min="14" style="0" width="16"/>
    <col collapsed="false" customWidth="true" hidden="false" outlineLevel="0" max="15" min="15" style="0" width="24"/>
    <col collapsed="false" customWidth="true" hidden="false" outlineLevel="0" max="16" min="16" style="0" width="16"/>
    <col collapsed="false" customWidth="true" hidden="false" outlineLevel="0" max="17" min="17" style="0" width="24"/>
    <col collapsed="false" customWidth="true" hidden="true" outlineLevel="0" max="47" min="18" style="0" width="13"/>
  </cols>
  <sheetData>
    <row r="1" customFormat="false" ht="17.35" hidden="false" customHeight="false" outlineLevel="0" collapsed="false">
      <c r="A1" s="1" t="s">
        <v>0</v>
      </c>
      <c r="B1" s="2" t="s">
        <v>1</v>
      </c>
      <c r="C1" s="3" t="n">
        <v>46314</v>
      </c>
      <c r="D1" s="3"/>
      <c r="F1" s="2" t="s">
        <v>2</v>
      </c>
      <c r="G1" s="4" t="n">
        <f aca="false">B13+D13+F13+H13+J13+L13+N13+P13</f>
        <v>124</v>
      </c>
      <c r="I1" s="2" t="s">
        <v>3</v>
      </c>
      <c r="J1" s="4" t="n">
        <f aca="false">SUMPRODUCT(($AN$6:$AU$64&lt;&gt;"")*(COUNTIF($AN$6:$AU$64,$AN$6:$AU$64)&gt;1))</f>
        <v>0</v>
      </c>
    </row>
    <row r="2" customFormat="false" ht="15" hidden="false" customHeight="false" outlineLevel="0" collapsed="false">
      <c r="A2" s="5" t="s">
        <v>19</v>
      </c>
    </row>
    <row r="3" customFormat="false" ht="15" hidden="false" customHeight="true" outlineLevel="0" collapsed="false">
      <c r="A3" s="6" t="s">
        <v>5</v>
      </c>
      <c r="B3" s="7" t="s">
        <v>20</v>
      </c>
      <c r="C3" s="7"/>
      <c r="D3" s="7" t="s">
        <v>21</v>
      </c>
      <c r="E3" s="7"/>
      <c r="F3" s="7" t="s">
        <v>22</v>
      </c>
      <c r="G3" s="7"/>
      <c r="H3" s="7" t="s">
        <v>23</v>
      </c>
      <c r="I3" s="7"/>
      <c r="J3" s="7" t="s">
        <v>24</v>
      </c>
      <c r="K3" s="7"/>
      <c r="L3" s="7" t="s">
        <v>25</v>
      </c>
      <c r="M3" s="7"/>
      <c r="N3" s="7" t="s">
        <v>26</v>
      </c>
      <c r="O3" s="7"/>
      <c r="P3" s="7"/>
      <c r="Q3" s="7"/>
    </row>
    <row r="4" customFormat="false" ht="15" hidden="false" customHeight="true" outlineLevel="0" collapsed="false">
      <c r="A4" s="6" t="s">
        <v>6</v>
      </c>
      <c r="B4" s="8" t="s">
        <v>27</v>
      </c>
      <c r="C4" s="8"/>
      <c r="D4" s="8" t="s">
        <v>27</v>
      </c>
      <c r="E4" s="8"/>
      <c r="F4" s="8" t="s">
        <v>27</v>
      </c>
      <c r="G4" s="8"/>
      <c r="H4" s="8" t="s">
        <v>27</v>
      </c>
      <c r="I4" s="8"/>
      <c r="J4" s="8" t="s">
        <v>28</v>
      </c>
      <c r="K4" s="8"/>
      <c r="L4" s="8" t="s">
        <v>29</v>
      </c>
      <c r="M4" s="8"/>
      <c r="N4" s="8" t="s">
        <v>30</v>
      </c>
      <c r="O4" s="8"/>
      <c r="P4" s="8"/>
      <c r="Q4" s="8"/>
    </row>
    <row r="5" customFormat="false" ht="15" hidden="false" customHeight="false" outlineLevel="0" collapsed="false">
      <c r="A5" s="6" t="s">
        <v>7</v>
      </c>
      <c r="B5" s="8" t="s">
        <v>31</v>
      </c>
      <c r="C5" s="8" t="s">
        <v>32</v>
      </c>
      <c r="D5" s="8" t="s">
        <v>31</v>
      </c>
      <c r="E5" s="8" t="s">
        <v>32</v>
      </c>
      <c r="F5" s="8" t="s">
        <v>31</v>
      </c>
      <c r="G5" s="8" t="s">
        <v>32</v>
      </c>
      <c r="H5" s="8" t="s">
        <v>33</v>
      </c>
      <c r="I5" s="8" t="s">
        <v>34</v>
      </c>
      <c r="J5" s="8" t="s">
        <v>35</v>
      </c>
      <c r="K5" s="8" t="s">
        <v>36</v>
      </c>
      <c r="L5" s="8" t="s">
        <v>31</v>
      </c>
      <c r="M5" s="8" t="s">
        <v>32</v>
      </c>
      <c r="N5" s="8" t="s">
        <v>31</v>
      </c>
      <c r="O5" s="8" t="s">
        <v>32</v>
      </c>
      <c r="P5" s="8"/>
      <c r="Q5" s="8"/>
    </row>
    <row r="6" customFormat="false" ht="15" hidden="false" customHeight="true" outlineLevel="0" collapsed="false">
      <c r="A6" s="6" t="s">
        <v>8</v>
      </c>
      <c r="B6" s="9"/>
      <c r="C6" s="9"/>
      <c r="D6" s="9" t="s">
        <v>37</v>
      </c>
      <c r="E6" s="9"/>
      <c r="F6" s="9"/>
      <c r="G6" s="9"/>
      <c r="H6" s="9"/>
      <c r="I6" s="9"/>
      <c r="J6" s="9" t="s">
        <v>38</v>
      </c>
      <c r="K6" s="9"/>
      <c r="L6" s="9"/>
      <c r="M6" s="9"/>
      <c r="N6" s="9" t="s">
        <v>39</v>
      </c>
      <c r="O6" s="9"/>
      <c r="P6" s="9"/>
      <c r="Q6" s="9"/>
      <c r="AN6" s="10" t="str">
        <f aca="false">IF(B6="","",TRIM(IFERROR(LEFT(B6,FIND("(",B6)-1),B6)))</f>
        <v/>
      </c>
      <c r="AO6" s="10" t="str">
        <f aca="false">IF(D6="","",TRIM(IFERROR(LEFT(D6,FIND("(",D6)-1),D6)))</f>
        <v>Jesus Ayerin Sicairos</v>
      </c>
      <c r="AP6" s="10" t="str">
        <f aca="false">IF(F6="","",TRIM(IFERROR(LEFT(F6,FIND("(",F6)-1),F6)))</f>
        <v/>
      </c>
      <c r="AQ6" s="10" t="str">
        <f aca="false">IF(H6="","",TRIM(IFERROR(LEFT(H6,FIND("(",H6)-1),H6)))</f>
        <v/>
      </c>
      <c r="AR6" s="10" t="str">
        <f aca="false">IF(J6="","",TRIM(IFERROR(LEFT(J6,FIND("(",J6)-1),J6)))</f>
        <v>Yobani Vega</v>
      </c>
      <c r="AS6" s="10" t="str">
        <f aca="false">IF(L6="","",TRIM(IFERROR(LEFT(L6,FIND("(",L6)-1),L6)))</f>
        <v/>
      </c>
      <c r="AT6" s="10" t="str">
        <f aca="false">IF(N6="","",TRIM(IFERROR(LEFT(N6,FIND("(",N6)-1),N6)))</f>
        <v>Juan J. Parra</v>
      </c>
      <c r="AU6" s="10" t="str">
        <f aca="false">IF(P6="","",TRIM(IFERROR(LEFT(P6,FIND("(",P6)-1),P6)))</f>
        <v/>
      </c>
    </row>
    <row r="7" customFormat="false" ht="22.35" hidden="false" customHeight="false" outlineLevel="0" collapsed="false">
      <c r="A7" s="6" t="s">
        <v>9</v>
      </c>
      <c r="B7" s="8"/>
      <c r="C7" s="8"/>
      <c r="D7" s="8"/>
      <c r="E7" s="8"/>
      <c r="F7" s="8" t="s">
        <v>40</v>
      </c>
      <c r="G7" s="8" t="n">
        <v>15</v>
      </c>
      <c r="H7" s="8" t="s">
        <v>40</v>
      </c>
      <c r="I7" s="8" t="n">
        <v>8</v>
      </c>
      <c r="J7" s="8" t="s">
        <v>40</v>
      </c>
      <c r="K7" s="8" t="n">
        <v>10</v>
      </c>
      <c r="L7" s="8"/>
      <c r="M7" s="8"/>
      <c r="N7" s="8" t="s">
        <v>40</v>
      </c>
      <c r="O7" s="8" t="n">
        <v>20</v>
      </c>
      <c r="P7" s="8"/>
      <c r="Q7" s="8"/>
    </row>
    <row r="8" customFormat="false" ht="15" hidden="false" customHeight="false" outlineLevel="0" collapsed="false">
      <c r="A8" s="6" t="s">
        <v>10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customFormat="false" ht="22.35" hidden="false" customHeight="false" outlineLevel="0" collapsed="false">
      <c r="A9" s="6" t="s">
        <v>11</v>
      </c>
      <c r="B9" s="8"/>
      <c r="C9" s="8"/>
      <c r="D9" s="8"/>
      <c r="E9" s="8"/>
      <c r="F9" s="8"/>
      <c r="G9" s="8"/>
      <c r="H9" s="8" t="s">
        <v>40</v>
      </c>
      <c r="I9" s="8" t="n">
        <v>15</v>
      </c>
      <c r="J9" s="8"/>
      <c r="K9" s="8"/>
      <c r="L9" s="8"/>
      <c r="M9" s="8"/>
      <c r="N9" s="8"/>
      <c r="O9" s="8"/>
      <c r="P9" s="8"/>
      <c r="Q9" s="8"/>
    </row>
    <row r="10" customFormat="false" ht="15" hidden="false" customHeight="false" outlineLevel="0" collapsed="false">
      <c r="A10" s="6" t="s">
        <v>12</v>
      </c>
      <c r="B10" s="8"/>
      <c r="C10" s="8"/>
      <c r="D10" s="8"/>
      <c r="E10" s="8"/>
      <c r="F10" s="8"/>
      <c r="G10" s="8"/>
      <c r="H10" s="8" t="s">
        <v>41</v>
      </c>
      <c r="I10" s="8" t="s">
        <v>42</v>
      </c>
      <c r="J10" s="8"/>
      <c r="K10" s="8"/>
      <c r="L10" s="8"/>
      <c r="M10" s="8"/>
      <c r="N10" s="8"/>
      <c r="O10" s="8"/>
      <c r="P10" s="8"/>
      <c r="Q10" s="8"/>
    </row>
    <row r="11" customFormat="false" ht="30" hidden="false" customHeight="true" outlineLevel="0" collapsed="false">
      <c r="A11" s="6" t="s">
        <v>13</v>
      </c>
      <c r="B11" s="8"/>
      <c r="C11" s="8"/>
      <c r="D11" s="8"/>
      <c r="E11" s="8"/>
      <c r="F11" s="8"/>
      <c r="G11" s="8"/>
      <c r="H11" s="8" t="s">
        <v>43</v>
      </c>
      <c r="I11" s="8"/>
      <c r="J11" s="8"/>
      <c r="K11" s="8"/>
      <c r="L11" s="8"/>
      <c r="M11" s="8"/>
      <c r="N11" s="8"/>
      <c r="O11" s="8"/>
      <c r="P11" s="8"/>
      <c r="Q11" s="8"/>
    </row>
    <row r="12" customFormat="false" ht="15" hidden="false" customHeight="false" outlineLevel="0" collapsed="false">
      <c r="A12" s="6" t="s">
        <v>14</v>
      </c>
      <c r="B12" s="11" t="n">
        <f aca="false">(B6&lt;&gt;"")+COUNTA(C15:C64)</f>
        <v>21</v>
      </c>
      <c r="C12" s="11"/>
      <c r="D12" s="11" t="n">
        <f aca="false">(D6&lt;&gt;"")+COUNTA(E15:E64)</f>
        <v>6</v>
      </c>
      <c r="E12" s="11"/>
      <c r="F12" s="11" t="n">
        <f aca="false">(F6&lt;&gt;"")+COUNTA(G15:G64)</f>
        <v>0</v>
      </c>
      <c r="G12" s="11"/>
      <c r="H12" s="11" t="n">
        <f aca="false">(H6&lt;&gt;"")+COUNTA(I15:I64)</f>
        <v>10</v>
      </c>
      <c r="I12" s="11"/>
      <c r="J12" s="11" t="n">
        <f aca="false">(J6&lt;&gt;"")+COUNTA(K15:K64)</f>
        <v>14</v>
      </c>
      <c r="K12" s="11"/>
      <c r="L12" s="11" t="n">
        <f aca="false">(L6&lt;&gt;"")+COUNTA(M15:M64)</f>
        <v>1</v>
      </c>
      <c r="M12" s="11"/>
      <c r="N12" s="11" t="n">
        <f aca="false">(N6&lt;&gt;"")+COUNTA(O15:O64)</f>
        <v>4</v>
      </c>
      <c r="O12" s="11"/>
      <c r="P12" s="11" t="n">
        <f aca="false">(P6&lt;&gt;"")+COUNTA(Q15:Q64)</f>
        <v>0</v>
      </c>
      <c r="Q12" s="11"/>
    </row>
    <row r="13" customFormat="false" ht="15" hidden="false" customHeight="false" outlineLevel="0" collapsed="false">
      <c r="A13" s="6" t="s">
        <v>15</v>
      </c>
      <c r="B13" s="12" t="n">
        <f aca="false">B12+N(C7)+N(C9)</f>
        <v>21</v>
      </c>
      <c r="C13" s="12"/>
      <c r="D13" s="12" t="n">
        <f aca="false">D12+N(E7)+N(E9)</f>
        <v>6</v>
      </c>
      <c r="E13" s="12"/>
      <c r="F13" s="12" t="n">
        <f aca="false">F12+N(G7)+N(G9)</f>
        <v>15</v>
      </c>
      <c r="G13" s="12"/>
      <c r="H13" s="12" t="n">
        <f aca="false">H12+N(I7)+N(I9)</f>
        <v>33</v>
      </c>
      <c r="I13" s="12"/>
      <c r="J13" s="12" t="n">
        <f aca="false">J12+N(K7)+N(K9)</f>
        <v>24</v>
      </c>
      <c r="K13" s="12"/>
      <c r="L13" s="12" t="n">
        <f aca="false">L12+N(M7)+N(M9)</f>
        <v>1</v>
      </c>
      <c r="M13" s="12"/>
      <c r="N13" s="12" t="n">
        <f aca="false">N12+N(O7)+N(O9)</f>
        <v>24</v>
      </c>
      <c r="O13" s="12"/>
      <c r="P13" s="12" t="n">
        <f aca="false">P12+N(Q7)+N(Q9)</f>
        <v>0</v>
      </c>
      <c r="Q13" s="12"/>
    </row>
    <row r="14" customFormat="false" ht="15" hidden="false" customHeight="false" outlineLevel="0" collapsed="false">
      <c r="A14" s="6" t="s">
        <v>16</v>
      </c>
      <c r="B14" s="13" t="s">
        <v>17</v>
      </c>
      <c r="C14" s="13" t="s">
        <v>18</v>
      </c>
      <c r="D14" s="13" t="s">
        <v>17</v>
      </c>
      <c r="E14" s="13" t="s">
        <v>18</v>
      </c>
      <c r="F14" s="13" t="s">
        <v>17</v>
      </c>
      <c r="G14" s="13" t="s">
        <v>18</v>
      </c>
      <c r="H14" s="13" t="s">
        <v>17</v>
      </c>
      <c r="I14" s="13" t="s">
        <v>18</v>
      </c>
      <c r="J14" s="13" t="s">
        <v>17</v>
      </c>
      <c r="K14" s="13" t="s">
        <v>18</v>
      </c>
      <c r="L14" s="13" t="s">
        <v>17</v>
      </c>
      <c r="M14" s="13" t="s">
        <v>18</v>
      </c>
      <c r="N14" s="13" t="s">
        <v>17</v>
      </c>
      <c r="O14" s="13" t="s">
        <v>18</v>
      </c>
      <c r="P14" s="13" t="s">
        <v>17</v>
      </c>
      <c r="Q14" s="13" t="s">
        <v>18</v>
      </c>
    </row>
    <row r="15" customFormat="false" ht="15" hidden="false" customHeight="false" outlineLevel="0" collapsed="false">
      <c r="A15" s="14" t="n">
        <v>1</v>
      </c>
      <c r="B15" s="15" t="s">
        <v>44</v>
      </c>
      <c r="C15" s="15" t="s">
        <v>45</v>
      </c>
      <c r="D15" s="15" t="s">
        <v>21</v>
      </c>
      <c r="E15" s="15" t="s">
        <v>46</v>
      </c>
      <c r="F15" s="15"/>
      <c r="G15" s="15"/>
      <c r="H15" s="15" t="s">
        <v>47</v>
      </c>
      <c r="I15" s="15" t="s">
        <v>48</v>
      </c>
      <c r="J15" s="15" t="s">
        <v>49</v>
      </c>
      <c r="K15" s="15" t="s">
        <v>50</v>
      </c>
      <c r="L15" s="15" t="s">
        <v>51</v>
      </c>
      <c r="M15" s="15" t="s">
        <v>52</v>
      </c>
      <c r="N15" s="15" t="s">
        <v>53</v>
      </c>
      <c r="O15" s="15" t="s">
        <v>54</v>
      </c>
      <c r="P15" s="15"/>
      <c r="Q15" s="15"/>
      <c r="T15" s="10" t="str">
        <f aca="false">IF(B15&lt;&gt;"",TRIM(IFERROR(LEFT(B15,FIND("(",B15)-1),B15)),"")</f>
        <v>Destronche</v>
      </c>
      <c r="U15" s="10" t="str">
        <f aca="false">IF(D15&lt;&gt;"",TRIM(IFERROR(LEFT(D15,FIND("(",D15)-1),D15)),"")</f>
        <v>Prerolls</v>
      </c>
      <c r="V15" s="10" t="str">
        <f aca="false">IF(F15&lt;&gt;"",TRIM(IFERROR(LEFT(F15,FIND("(",F15)-1),F15)),"")</f>
        <v/>
      </c>
      <c r="W15" s="10" t="str">
        <f aca="false">IF(H15&lt;&gt;"",TRIM(IFERROR(LEFT(H15,FIND("(",H15)-1),H15)),"")</f>
        <v>Colgar</v>
      </c>
      <c r="X15" s="10" t="str">
        <f aca="false">IF(J15&lt;&gt;"",TRIM(IFERROR(LEFT(J15,FIND("(",J15)-1),J15)),"")</f>
        <v>Cortar</v>
      </c>
      <c r="Y15" s="10" t="str">
        <f aca="false">IF(L15&lt;&gt;"",TRIM(IFERROR(LEFT(L15,FIND("(",L15)-1),L15)),"")</f>
        <v>Regar</v>
      </c>
      <c r="Z15" s="10" t="str">
        <f aca="false">IF(N15&lt;&gt;"",TRIM(IFERROR(LEFT(N15,FIND("(",N15)-1),N15)),"")</f>
        <v>Fresh frozen</v>
      </c>
      <c r="AA15" s="10" t="str">
        <f aca="false">IF(P15&lt;&gt;"",TRIM(IFERROR(LEFT(P15,FIND("(",P15)-1),P15)),"")</f>
        <v/>
      </c>
      <c r="AD15" s="10" t="str">
        <f aca="false">IF(C15="","",IF(T15="","(sin responsabilidad)",T15))</f>
        <v>Destronche</v>
      </c>
      <c r="AE15" s="10" t="str">
        <f aca="false">IF(E15="","",IF(U15="","(sin responsabilidad)",U15))</f>
        <v>Prerolls</v>
      </c>
      <c r="AF15" s="10" t="str">
        <f aca="false">IF(G15="","",IF(V15="","(sin responsabilidad)",V15))</f>
        <v/>
      </c>
      <c r="AG15" s="10" t="str">
        <f aca="false">IF(I15="","",IF(W15="","(sin responsabilidad)",W15))</f>
        <v>Colgar</v>
      </c>
      <c r="AH15" s="10" t="str">
        <f aca="false">IF(K15="","",IF(X15="","(sin responsabilidad)",X15))</f>
        <v>Cortar</v>
      </c>
      <c r="AI15" s="10" t="str">
        <f aca="false">IF(M15="","",IF(Y15="","(sin responsabilidad)",Y15))</f>
        <v>Regar</v>
      </c>
      <c r="AJ15" s="10" t="str">
        <f aca="false">IF(O15="","",IF(Z15="","(sin responsabilidad)",Z15))</f>
        <v>Fresh frozen</v>
      </c>
      <c r="AK15" s="10" t="str">
        <f aca="false">IF(Q15="","",IF(AA15="","(sin responsabilidad)",AA15))</f>
        <v/>
      </c>
      <c r="AN15" s="10" t="str">
        <f aca="false">IF(C15="","",TRIM(IFERROR(LEFT(C15,FIND("(",C15)-1),C15)))</f>
        <v>Isabel Hernandez</v>
      </c>
      <c r="AO15" s="10" t="str">
        <f aca="false">IF(E15="","",TRIM(IFERROR(LEFT(E15,FIND("(",E15)-1),E15)))</f>
        <v>Vianey Zazueta</v>
      </c>
      <c r="AP15" s="10" t="str">
        <f aca="false">IF(G15="","",TRIM(IFERROR(LEFT(G15,FIND("(",G15)-1),G15)))</f>
        <v/>
      </c>
      <c r="AQ15" s="10" t="str">
        <f aca="false">IF(I15="","",TRIM(IFERROR(LEFT(I15,FIND("(",I15)-1),I15)))</f>
        <v>Jorge Santiago Calvo</v>
      </c>
      <c r="AR15" s="10" t="str">
        <f aca="false">IF(K15="","",TRIM(IFERROR(LEFT(K15,FIND("(",K15)-1),K15)))</f>
        <v>Jose Guadalupe Lopez</v>
      </c>
      <c r="AS15" s="10" t="str">
        <f aca="false">IF(M15="","",TRIM(IFERROR(LEFT(M15,FIND("(",M15)-1),M15)))</f>
        <v>Isai Cruz Lopez</v>
      </c>
      <c r="AT15" s="10" t="str">
        <f aca="false">IF(O15="","",TRIM(IFERROR(LEFT(O15,FIND("(",O15)-1),O15)))</f>
        <v>Anastasia Santiago</v>
      </c>
      <c r="AU15" s="10" t="str">
        <f aca="false">IF(Q15="","",TRIM(IFERROR(LEFT(Q15,FIND("(",Q15)-1),Q15)))</f>
        <v/>
      </c>
    </row>
    <row r="16" customFormat="false" ht="15" hidden="false" customHeight="false" outlineLevel="0" collapsed="false">
      <c r="A16" s="14" t="n">
        <v>2</v>
      </c>
      <c r="B16" s="15"/>
      <c r="C16" s="15" t="s">
        <v>55</v>
      </c>
      <c r="D16" s="15"/>
      <c r="E16" s="15" t="s">
        <v>56</v>
      </c>
      <c r="F16" s="15"/>
      <c r="G16" s="15"/>
      <c r="H16" s="15"/>
      <c r="I16" s="15" t="s">
        <v>57</v>
      </c>
      <c r="J16" s="15"/>
      <c r="K16" s="15" t="s">
        <v>58</v>
      </c>
      <c r="L16" s="15"/>
      <c r="M16" s="15"/>
      <c r="N16" s="15"/>
      <c r="O16" s="15" t="s">
        <v>59</v>
      </c>
      <c r="P16" s="15"/>
      <c r="Q16" s="15"/>
      <c r="T16" s="10" t="str">
        <f aca="false">IF(B16&lt;&gt;"",TRIM(IFERROR(LEFT(B16,FIND("(",B16)-1),B16)),T15)</f>
        <v>Destronche</v>
      </c>
      <c r="U16" s="10" t="str">
        <f aca="false">IF(D16&lt;&gt;"",TRIM(IFERROR(LEFT(D16,FIND("(",D16)-1),D16)),U15)</f>
        <v>Prerolls</v>
      </c>
      <c r="V16" s="10" t="str">
        <f aca="false">IF(F16&lt;&gt;"",TRIM(IFERROR(LEFT(F16,FIND("(",F16)-1),F16)),V15)</f>
        <v/>
      </c>
      <c r="W16" s="10" t="str">
        <f aca="false">IF(H16&lt;&gt;"",TRIM(IFERROR(LEFT(H16,FIND("(",H16)-1),H16)),W15)</f>
        <v>Colgar</v>
      </c>
      <c r="X16" s="10" t="str">
        <f aca="false">IF(J16&lt;&gt;"",TRIM(IFERROR(LEFT(J16,FIND("(",J16)-1),J16)),X15)</f>
        <v>Cortar</v>
      </c>
      <c r="Y16" s="10" t="str">
        <f aca="false">IF(L16&lt;&gt;"",TRIM(IFERROR(LEFT(L16,FIND("(",L16)-1),L16)),Y15)</f>
        <v>Regar</v>
      </c>
      <c r="Z16" s="10" t="str">
        <f aca="false">IF(N16&lt;&gt;"",TRIM(IFERROR(LEFT(N16,FIND("(",N16)-1),N16)),Z15)</f>
        <v>Fresh frozen</v>
      </c>
      <c r="AA16" s="10" t="str">
        <f aca="false">IF(P16&lt;&gt;"",TRIM(IFERROR(LEFT(P16,FIND("(",P16)-1),P16)),AA15)</f>
        <v/>
      </c>
      <c r="AD16" s="10" t="str">
        <f aca="false">IF(C16="","",IF(T16="","(sin responsabilidad)",T16))</f>
        <v>Destronche</v>
      </c>
      <c r="AE16" s="10" t="str">
        <f aca="false">IF(E16="","",IF(U16="","(sin responsabilidad)",U16))</f>
        <v>Prerolls</v>
      </c>
      <c r="AF16" s="10" t="str">
        <f aca="false">IF(G16="","",IF(V16="","(sin responsabilidad)",V16))</f>
        <v/>
      </c>
      <c r="AG16" s="10" t="str">
        <f aca="false">IF(I16="","",IF(W16="","(sin responsabilidad)",W16))</f>
        <v>Colgar</v>
      </c>
      <c r="AH16" s="10" t="str">
        <f aca="false">IF(K16="","",IF(X16="","(sin responsabilidad)",X16))</f>
        <v>Cortar</v>
      </c>
      <c r="AI16" s="10" t="str">
        <f aca="false">IF(M16="","",IF(Y16="","(sin responsabilidad)",Y16))</f>
        <v/>
      </c>
      <c r="AJ16" s="10" t="str">
        <f aca="false">IF(O16="","",IF(Z16="","(sin responsabilidad)",Z16))</f>
        <v>Fresh frozen</v>
      </c>
      <c r="AK16" s="10" t="str">
        <f aca="false">IF(Q16="","",IF(AA16="","(sin responsabilidad)",AA16))</f>
        <v/>
      </c>
      <c r="AN16" s="10" t="str">
        <f aca="false">IF(C16="","",TRIM(IFERROR(LEFT(C16,FIND("(",C16)-1),C16)))</f>
        <v>Araceli Martinez</v>
      </c>
      <c r="AO16" s="10" t="str">
        <f aca="false">IF(E16="","",TRIM(IFERROR(LEFT(E16,FIND("(",E16)-1),E16)))</f>
        <v>Araceli Muniz</v>
      </c>
      <c r="AP16" s="10" t="str">
        <f aca="false">IF(G16="","",TRIM(IFERROR(LEFT(G16,FIND("(",G16)-1),G16)))</f>
        <v/>
      </c>
      <c r="AQ16" s="10" t="str">
        <f aca="false">IF(I16="","",TRIM(IFERROR(LEFT(I16,FIND("(",I16)-1),I16)))</f>
        <v>Jesus Medina</v>
      </c>
      <c r="AR16" s="10" t="str">
        <f aca="false">IF(K16="","",TRIM(IFERROR(LEFT(K16,FIND("(",K16)-1),K16)))</f>
        <v>Diego Lopez</v>
      </c>
      <c r="AS16" s="10" t="str">
        <f aca="false">IF(M16="","",TRIM(IFERROR(LEFT(M16,FIND("(",M16)-1),M16)))</f>
        <v/>
      </c>
      <c r="AT16" s="10" t="str">
        <f aca="false">IF(O16="","",TRIM(IFERROR(LEFT(O16,FIND("(",O16)-1),O16)))</f>
        <v>Carla Gomez Perez</v>
      </c>
      <c r="AU16" s="10" t="str">
        <f aca="false">IF(Q16="","",TRIM(IFERROR(LEFT(Q16,FIND("(",Q16)-1),Q16)))</f>
        <v/>
      </c>
    </row>
    <row r="17" customFormat="false" ht="15" hidden="false" customHeight="false" outlineLevel="0" collapsed="false">
      <c r="A17" s="14" t="n">
        <v>3</v>
      </c>
      <c r="B17" s="15"/>
      <c r="C17" s="15" t="s">
        <v>60</v>
      </c>
      <c r="D17" s="15"/>
      <c r="E17" s="15" t="s">
        <v>61</v>
      </c>
      <c r="F17" s="15"/>
      <c r="G17" s="15"/>
      <c r="H17" s="15"/>
      <c r="I17" s="15" t="s">
        <v>62</v>
      </c>
      <c r="J17" s="15"/>
      <c r="K17" s="15" t="s">
        <v>63</v>
      </c>
      <c r="L17" s="15"/>
      <c r="M17" s="15"/>
      <c r="N17" s="15"/>
      <c r="O17" s="15" t="s">
        <v>64</v>
      </c>
      <c r="P17" s="15"/>
      <c r="Q17" s="15"/>
      <c r="T17" s="10" t="str">
        <f aca="false">IF(B17&lt;&gt;"",TRIM(IFERROR(LEFT(B17,FIND("(",B17)-1),B17)),T16)</f>
        <v>Destronche</v>
      </c>
      <c r="U17" s="10" t="str">
        <f aca="false">IF(D17&lt;&gt;"",TRIM(IFERROR(LEFT(D17,FIND("(",D17)-1),D17)),U16)</f>
        <v>Prerolls</v>
      </c>
      <c r="V17" s="10" t="str">
        <f aca="false">IF(F17&lt;&gt;"",TRIM(IFERROR(LEFT(F17,FIND("(",F17)-1),F17)),V16)</f>
        <v/>
      </c>
      <c r="W17" s="10" t="str">
        <f aca="false">IF(H17&lt;&gt;"",TRIM(IFERROR(LEFT(H17,FIND("(",H17)-1),H17)),W16)</f>
        <v>Colgar</v>
      </c>
      <c r="X17" s="10" t="str">
        <f aca="false">IF(J17&lt;&gt;"",TRIM(IFERROR(LEFT(J17,FIND("(",J17)-1),J17)),X16)</f>
        <v>Cortar</v>
      </c>
      <c r="Y17" s="10" t="str">
        <f aca="false">IF(L17&lt;&gt;"",TRIM(IFERROR(LEFT(L17,FIND("(",L17)-1),L17)),Y16)</f>
        <v>Regar</v>
      </c>
      <c r="Z17" s="10" t="str">
        <f aca="false">IF(N17&lt;&gt;"",TRIM(IFERROR(LEFT(N17,FIND("(",N17)-1),N17)),Z16)</f>
        <v>Fresh frozen</v>
      </c>
      <c r="AA17" s="10" t="str">
        <f aca="false">IF(P17&lt;&gt;"",TRIM(IFERROR(LEFT(P17,FIND("(",P17)-1),P17)),AA16)</f>
        <v/>
      </c>
      <c r="AD17" s="10" t="str">
        <f aca="false">IF(C17="","",IF(T17="","(sin responsabilidad)",T17))</f>
        <v>Destronche</v>
      </c>
      <c r="AE17" s="10" t="str">
        <f aca="false">IF(E17="","",IF(U17="","(sin responsabilidad)",U17))</f>
        <v>Prerolls</v>
      </c>
      <c r="AF17" s="10" t="str">
        <f aca="false">IF(G17="","",IF(V17="","(sin responsabilidad)",V17))</f>
        <v/>
      </c>
      <c r="AG17" s="10" t="str">
        <f aca="false">IF(I17="","",IF(W17="","(sin responsabilidad)",W17))</f>
        <v>Colgar</v>
      </c>
      <c r="AH17" s="10" t="str">
        <f aca="false">IF(K17="","",IF(X17="","(sin responsabilidad)",X17))</f>
        <v>Cortar</v>
      </c>
      <c r="AI17" s="10" t="str">
        <f aca="false">IF(M17="","",IF(Y17="","(sin responsabilidad)",Y17))</f>
        <v/>
      </c>
      <c r="AJ17" s="10" t="str">
        <f aca="false">IF(O17="","",IF(Z17="","(sin responsabilidad)",Z17))</f>
        <v>Fresh frozen</v>
      </c>
      <c r="AK17" s="10" t="str">
        <f aca="false">IF(Q17="","",IF(AA17="","(sin responsabilidad)",AA17))</f>
        <v/>
      </c>
      <c r="AN17" s="10" t="str">
        <f aca="false">IF(C17="","",TRIM(IFERROR(LEFT(C17,FIND("(",C17)-1),C17)))</f>
        <v>Gandy Cardenas</v>
      </c>
      <c r="AO17" s="10" t="str">
        <f aca="false">IF(E17="","",TRIM(IFERROR(LEFT(E17,FIND("(",E17)-1),E17)))</f>
        <v>Sirenia Zurita</v>
      </c>
      <c r="AP17" s="10" t="str">
        <f aca="false">IF(G17="","",TRIM(IFERROR(LEFT(G17,FIND("(",G17)-1),G17)))</f>
        <v/>
      </c>
      <c r="AQ17" s="10" t="str">
        <f aca="false">IF(I17="","",TRIM(IFERROR(LEFT(I17,FIND("(",I17)-1),I17)))</f>
        <v>Jenri Yobani Lopez Lopez</v>
      </c>
      <c r="AR17" s="10" t="str">
        <f aca="false">IF(K17="","",TRIM(IFERROR(LEFT(K17,FIND("(",K17)-1),K17)))</f>
        <v>Jose Fredi Aguilar L.</v>
      </c>
      <c r="AS17" s="10" t="str">
        <f aca="false">IF(M17="","",TRIM(IFERROR(LEFT(M17,FIND("(",M17)-1),M17)))</f>
        <v/>
      </c>
      <c r="AT17" s="10" t="str">
        <f aca="false">IF(O17="","",TRIM(IFERROR(LEFT(O17,FIND("(",O17)-1),O17)))</f>
        <v>Aurelia Rosales</v>
      </c>
      <c r="AU17" s="10" t="str">
        <f aca="false">IF(Q17="","",TRIM(IFERROR(LEFT(Q17,FIND("(",Q17)-1),Q17)))</f>
        <v/>
      </c>
    </row>
    <row r="18" customFormat="false" ht="15" hidden="false" customHeight="false" outlineLevel="0" collapsed="false">
      <c r="A18" s="14" t="n">
        <v>4</v>
      </c>
      <c r="B18" s="15"/>
      <c r="C18" s="15" t="s">
        <v>65</v>
      </c>
      <c r="D18" s="15"/>
      <c r="E18" s="15" t="s">
        <v>66</v>
      </c>
      <c r="F18" s="15"/>
      <c r="G18" s="15"/>
      <c r="H18" s="15"/>
      <c r="I18" s="15" t="s">
        <v>67</v>
      </c>
      <c r="J18" s="15"/>
      <c r="K18" s="15" t="s">
        <v>68</v>
      </c>
      <c r="L18" s="15"/>
      <c r="M18" s="15"/>
      <c r="N18" s="15"/>
      <c r="O18" s="15"/>
      <c r="P18" s="15"/>
      <c r="Q18" s="15"/>
      <c r="T18" s="10" t="str">
        <f aca="false">IF(B18&lt;&gt;"",TRIM(IFERROR(LEFT(B18,FIND("(",B18)-1),B18)),T17)</f>
        <v>Destronche</v>
      </c>
      <c r="U18" s="10" t="str">
        <f aca="false">IF(D18&lt;&gt;"",TRIM(IFERROR(LEFT(D18,FIND("(",D18)-1),D18)),U17)</f>
        <v>Prerolls</v>
      </c>
      <c r="V18" s="10" t="str">
        <f aca="false">IF(F18&lt;&gt;"",TRIM(IFERROR(LEFT(F18,FIND("(",F18)-1),F18)),V17)</f>
        <v/>
      </c>
      <c r="W18" s="10" t="str">
        <f aca="false">IF(H18&lt;&gt;"",TRIM(IFERROR(LEFT(H18,FIND("(",H18)-1),H18)),W17)</f>
        <v>Colgar</v>
      </c>
      <c r="X18" s="10" t="str">
        <f aca="false">IF(J18&lt;&gt;"",TRIM(IFERROR(LEFT(J18,FIND("(",J18)-1),J18)),X17)</f>
        <v>Cortar</v>
      </c>
      <c r="Y18" s="10" t="str">
        <f aca="false">IF(L18&lt;&gt;"",TRIM(IFERROR(LEFT(L18,FIND("(",L18)-1),L18)),Y17)</f>
        <v>Regar</v>
      </c>
      <c r="Z18" s="10" t="str">
        <f aca="false">IF(N18&lt;&gt;"",TRIM(IFERROR(LEFT(N18,FIND("(",N18)-1),N18)),Z17)</f>
        <v>Fresh frozen</v>
      </c>
      <c r="AA18" s="10" t="str">
        <f aca="false">IF(P18&lt;&gt;"",TRIM(IFERROR(LEFT(P18,FIND("(",P18)-1),P18)),AA17)</f>
        <v/>
      </c>
      <c r="AD18" s="10" t="str">
        <f aca="false">IF(C18="","",IF(T18="","(sin responsabilidad)",T18))</f>
        <v>Destronche</v>
      </c>
      <c r="AE18" s="10" t="str">
        <f aca="false">IF(E18="","",IF(U18="","(sin responsabilidad)",U18))</f>
        <v>Prerolls</v>
      </c>
      <c r="AF18" s="10" t="str">
        <f aca="false">IF(G18="","",IF(V18="","(sin responsabilidad)",V18))</f>
        <v/>
      </c>
      <c r="AG18" s="10" t="str">
        <f aca="false">IF(I18="","",IF(W18="","(sin responsabilidad)",W18))</f>
        <v>Colgar</v>
      </c>
      <c r="AH18" s="10" t="str">
        <f aca="false">IF(K18="","",IF(X18="","(sin responsabilidad)",X18))</f>
        <v>Cortar</v>
      </c>
      <c r="AI18" s="10" t="str">
        <f aca="false">IF(M18="","",IF(Y18="","(sin responsabilidad)",Y18))</f>
        <v/>
      </c>
      <c r="AJ18" s="10" t="str">
        <f aca="false">IF(O18="","",IF(Z18="","(sin responsabilidad)",Z18))</f>
        <v/>
      </c>
      <c r="AK18" s="10" t="str">
        <f aca="false">IF(Q18="","",IF(AA18="","(sin responsabilidad)",AA18))</f>
        <v/>
      </c>
      <c r="AN18" s="10" t="str">
        <f aca="false">IF(C18="","",TRIM(IFERROR(LEFT(C18,FIND("(",C18)-1),C18)))</f>
        <v>Ramona Ortiz</v>
      </c>
      <c r="AO18" s="10" t="str">
        <f aca="false">IF(E18="","",TRIM(IFERROR(LEFT(E18,FIND("(",E18)-1),E18)))</f>
        <v>Ana Reyes</v>
      </c>
      <c r="AP18" s="10" t="str">
        <f aca="false">IF(G18="","",TRIM(IFERROR(LEFT(G18,FIND("(",G18)-1),G18)))</f>
        <v/>
      </c>
      <c r="AQ18" s="10" t="str">
        <f aca="false">IF(I18="","",TRIM(IFERROR(LEFT(I18,FIND("(",I18)-1),I18)))</f>
        <v>Carlos Tentle</v>
      </c>
      <c r="AR18" s="10" t="str">
        <f aca="false">IF(K18="","",TRIM(IFERROR(LEFT(K18,FIND("(",K18)-1),K18)))</f>
        <v>Ismael Cruz</v>
      </c>
      <c r="AS18" s="10" t="str">
        <f aca="false">IF(M18="","",TRIM(IFERROR(LEFT(M18,FIND("(",M18)-1),M18)))</f>
        <v/>
      </c>
      <c r="AT18" s="10" t="str">
        <f aca="false">IF(O18="","",TRIM(IFERROR(LEFT(O18,FIND("(",O18)-1),O18)))</f>
        <v/>
      </c>
      <c r="AU18" s="10" t="str">
        <f aca="false">IF(Q18="","",TRIM(IFERROR(LEFT(Q18,FIND("(",Q18)-1),Q18)))</f>
        <v/>
      </c>
    </row>
    <row r="19" customFormat="false" ht="15" hidden="false" customHeight="false" outlineLevel="0" collapsed="false">
      <c r="A19" s="14" t="n">
        <v>5</v>
      </c>
      <c r="B19" s="15"/>
      <c r="C19" s="15" t="s">
        <v>69</v>
      </c>
      <c r="D19" s="15" t="s">
        <v>70</v>
      </c>
      <c r="E19" s="15" t="s">
        <v>71</v>
      </c>
      <c r="F19" s="15"/>
      <c r="G19" s="15"/>
      <c r="H19" s="15"/>
      <c r="I19" s="15" t="s">
        <v>72</v>
      </c>
      <c r="J19" s="15"/>
      <c r="K19" s="15" t="s">
        <v>73</v>
      </c>
      <c r="L19" s="15"/>
      <c r="M19" s="15"/>
      <c r="N19" s="15"/>
      <c r="O19" s="15"/>
      <c r="P19" s="15"/>
      <c r="Q19" s="15"/>
      <c r="T19" s="10" t="str">
        <f aca="false">IF(B19&lt;&gt;"",TRIM(IFERROR(LEFT(B19,FIND("(",B19)-1),B19)),T18)</f>
        <v>Destronche</v>
      </c>
      <c r="U19" s="10" t="str">
        <f aca="false">IF(D19&lt;&gt;"",TRIM(IFERROR(LEFT(D19,FIND("(",D19)-1),D19)),U18)</f>
        <v>Packing</v>
      </c>
      <c r="V19" s="10" t="str">
        <f aca="false">IF(F19&lt;&gt;"",TRIM(IFERROR(LEFT(F19,FIND("(",F19)-1),F19)),V18)</f>
        <v/>
      </c>
      <c r="W19" s="10" t="str">
        <f aca="false">IF(H19&lt;&gt;"",TRIM(IFERROR(LEFT(H19,FIND("(",H19)-1),H19)),W18)</f>
        <v>Colgar</v>
      </c>
      <c r="X19" s="10" t="str">
        <f aca="false">IF(J19&lt;&gt;"",TRIM(IFERROR(LEFT(J19,FIND("(",J19)-1),J19)),X18)</f>
        <v>Cortar</v>
      </c>
      <c r="Y19" s="10" t="str">
        <f aca="false">IF(L19&lt;&gt;"",TRIM(IFERROR(LEFT(L19,FIND("(",L19)-1),L19)),Y18)</f>
        <v>Regar</v>
      </c>
      <c r="Z19" s="10" t="str">
        <f aca="false">IF(N19&lt;&gt;"",TRIM(IFERROR(LEFT(N19,FIND("(",N19)-1),N19)),Z18)</f>
        <v>Fresh frozen</v>
      </c>
      <c r="AA19" s="10" t="str">
        <f aca="false">IF(P19&lt;&gt;"",TRIM(IFERROR(LEFT(P19,FIND("(",P19)-1),P19)),AA18)</f>
        <v/>
      </c>
      <c r="AD19" s="10" t="str">
        <f aca="false">IF(C19="","",IF(T19="","(sin responsabilidad)",T19))</f>
        <v>Destronche</v>
      </c>
      <c r="AE19" s="10" t="str">
        <f aca="false">IF(E19="","",IF(U19="","(sin responsabilidad)",U19))</f>
        <v>Packing</v>
      </c>
      <c r="AF19" s="10" t="str">
        <f aca="false">IF(G19="","",IF(V19="","(sin responsabilidad)",V19))</f>
        <v/>
      </c>
      <c r="AG19" s="10" t="str">
        <f aca="false">IF(I19="","",IF(W19="","(sin responsabilidad)",W19))</f>
        <v>Colgar</v>
      </c>
      <c r="AH19" s="10" t="str">
        <f aca="false">IF(K19="","",IF(X19="","(sin responsabilidad)",X19))</f>
        <v>Cortar</v>
      </c>
      <c r="AI19" s="10" t="str">
        <f aca="false">IF(M19="","",IF(Y19="","(sin responsabilidad)",Y19))</f>
        <v/>
      </c>
      <c r="AJ19" s="10" t="str">
        <f aca="false">IF(O19="","",IF(Z19="","(sin responsabilidad)",Z19))</f>
        <v/>
      </c>
      <c r="AK19" s="10" t="str">
        <f aca="false">IF(Q19="","",IF(AA19="","(sin responsabilidad)",AA19))</f>
        <v/>
      </c>
      <c r="AN19" s="10" t="str">
        <f aca="false">IF(C19="","",TRIM(IFERROR(LEFT(C19,FIND("(",C19)-1),C19)))</f>
        <v>Dalett Castro</v>
      </c>
      <c r="AO19" s="10" t="str">
        <f aca="false">IF(E19="","",TRIM(IFERROR(LEFT(E19,FIND("(",E19)-1),E19)))</f>
        <v>Maria Toledo</v>
      </c>
      <c r="AP19" s="10" t="str">
        <f aca="false">IF(G19="","",TRIM(IFERROR(LEFT(G19,FIND("(",G19)-1),G19)))</f>
        <v/>
      </c>
      <c r="AQ19" s="10" t="str">
        <f aca="false">IF(I19="","",TRIM(IFERROR(LEFT(I19,FIND("(",I19)-1),I19)))</f>
        <v>Roberto Castro</v>
      </c>
      <c r="AR19" s="10" t="str">
        <f aca="false">IF(K19="","",TRIM(IFERROR(LEFT(K19,FIND("(",K19)-1),K19)))</f>
        <v>Lisandro Molina</v>
      </c>
      <c r="AS19" s="10" t="str">
        <f aca="false">IF(M19="","",TRIM(IFERROR(LEFT(M19,FIND("(",M19)-1),M19)))</f>
        <v/>
      </c>
      <c r="AT19" s="10" t="str">
        <f aca="false">IF(O19="","",TRIM(IFERROR(LEFT(O19,FIND("(",O19)-1),O19)))</f>
        <v/>
      </c>
      <c r="AU19" s="10" t="str">
        <f aca="false">IF(Q19="","",TRIM(IFERROR(LEFT(Q19,FIND("(",Q19)-1),Q19)))</f>
        <v/>
      </c>
    </row>
    <row r="20" customFormat="false" ht="15" hidden="false" customHeight="false" outlineLevel="0" collapsed="false">
      <c r="A20" s="14" t="n">
        <v>6</v>
      </c>
      <c r="B20" s="15"/>
      <c r="C20" s="15" t="s">
        <v>74</v>
      </c>
      <c r="D20" s="15"/>
      <c r="E20" s="15"/>
      <c r="F20" s="15"/>
      <c r="G20" s="15"/>
      <c r="H20" s="15"/>
      <c r="I20" s="15" t="s">
        <v>75</v>
      </c>
      <c r="J20" s="15"/>
      <c r="K20" s="15" t="s">
        <v>76</v>
      </c>
      <c r="L20" s="15"/>
      <c r="M20" s="15"/>
      <c r="N20" s="15"/>
      <c r="O20" s="15"/>
      <c r="P20" s="15"/>
      <c r="Q20" s="15"/>
      <c r="T20" s="10" t="str">
        <f aca="false">IF(B20&lt;&gt;"",TRIM(IFERROR(LEFT(B20,FIND("(",B20)-1),B20)),T19)</f>
        <v>Destronche</v>
      </c>
      <c r="U20" s="10" t="str">
        <f aca="false">IF(D20&lt;&gt;"",TRIM(IFERROR(LEFT(D20,FIND("(",D20)-1),D20)),U19)</f>
        <v>Packing</v>
      </c>
      <c r="V20" s="10" t="str">
        <f aca="false">IF(F20&lt;&gt;"",TRIM(IFERROR(LEFT(F20,FIND("(",F20)-1),F20)),V19)</f>
        <v/>
      </c>
      <c r="W20" s="10" t="str">
        <f aca="false">IF(H20&lt;&gt;"",TRIM(IFERROR(LEFT(H20,FIND("(",H20)-1),H20)),W19)</f>
        <v>Colgar</v>
      </c>
      <c r="X20" s="10" t="str">
        <f aca="false">IF(J20&lt;&gt;"",TRIM(IFERROR(LEFT(J20,FIND("(",J20)-1),J20)),X19)</f>
        <v>Cortar</v>
      </c>
      <c r="Y20" s="10" t="str">
        <f aca="false">IF(L20&lt;&gt;"",TRIM(IFERROR(LEFT(L20,FIND("(",L20)-1),L20)),Y19)</f>
        <v>Regar</v>
      </c>
      <c r="Z20" s="10" t="str">
        <f aca="false">IF(N20&lt;&gt;"",TRIM(IFERROR(LEFT(N20,FIND("(",N20)-1),N20)),Z19)</f>
        <v>Fresh frozen</v>
      </c>
      <c r="AA20" s="10" t="str">
        <f aca="false">IF(P20&lt;&gt;"",TRIM(IFERROR(LEFT(P20,FIND("(",P20)-1),P20)),AA19)</f>
        <v/>
      </c>
      <c r="AD20" s="10" t="str">
        <f aca="false">IF(C20="","",IF(T20="","(sin responsabilidad)",T20))</f>
        <v>Destronche</v>
      </c>
      <c r="AE20" s="10" t="str">
        <f aca="false">IF(E20="","",IF(U20="","(sin responsabilidad)",U20))</f>
        <v/>
      </c>
      <c r="AF20" s="10" t="str">
        <f aca="false">IF(G20="","",IF(V20="","(sin responsabilidad)",V20))</f>
        <v/>
      </c>
      <c r="AG20" s="10" t="str">
        <f aca="false">IF(I20="","",IF(W20="","(sin responsabilidad)",W20))</f>
        <v>Colgar</v>
      </c>
      <c r="AH20" s="10" t="str">
        <f aca="false">IF(K20="","",IF(X20="","(sin responsabilidad)",X20))</f>
        <v>Cortar</v>
      </c>
      <c r="AI20" s="10" t="str">
        <f aca="false">IF(M20="","",IF(Y20="","(sin responsabilidad)",Y20))</f>
        <v/>
      </c>
      <c r="AJ20" s="10" t="str">
        <f aca="false">IF(O20="","",IF(Z20="","(sin responsabilidad)",Z20))</f>
        <v/>
      </c>
      <c r="AK20" s="10" t="str">
        <f aca="false">IF(Q20="","",IF(AA20="","(sin responsabilidad)",AA20))</f>
        <v/>
      </c>
      <c r="AN20" s="10" t="str">
        <f aca="false">IF(C20="","",TRIM(IFERROR(LEFT(C20,FIND("(",C20)-1),C20)))</f>
        <v>Maria C Pille</v>
      </c>
      <c r="AO20" s="10" t="str">
        <f aca="false">IF(E20="","",TRIM(IFERROR(LEFT(E20,FIND("(",E20)-1),E20)))</f>
        <v/>
      </c>
      <c r="AP20" s="10" t="str">
        <f aca="false">IF(G20="","",TRIM(IFERROR(LEFT(G20,FIND("(",G20)-1),G20)))</f>
        <v/>
      </c>
      <c r="AQ20" s="10" t="str">
        <f aca="false">IF(I20="","",TRIM(IFERROR(LEFT(I20,FIND("(",I20)-1),I20)))</f>
        <v>Juan Carlos Lopez</v>
      </c>
      <c r="AR20" s="10" t="str">
        <f aca="false">IF(K20="","",TRIM(IFERROR(LEFT(K20,FIND("(",K20)-1),K20)))</f>
        <v>Jonathan Garcia Perez</v>
      </c>
      <c r="AS20" s="10" t="str">
        <f aca="false">IF(M20="","",TRIM(IFERROR(LEFT(M20,FIND("(",M20)-1),M20)))</f>
        <v/>
      </c>
      <c r="AT20" s="10" t="str">
        <f aca="false">IF(O20="","",TRIM(IFERROR(LEFT(O20,FIND("(",O20)-1),O20)))</f>
        <v/>
      </c>
      <c r="AU20" s="10" t="str">
        <f aca="false">IF(Q20="","",TRIM(IFERROR(LEFT(Q20,FIND("(",Q20)-1),Q20)))</f>
        <v/>
      </c>
    </row>
    <row r="21" customFormat="false" ht="15" hidden="false" customHeight="false" outlineLevel="0" collapsed="false">
      <c r="A21" s="14" t="n">
        <v>7</v>
      </c>
      <c r="B21" s="15"/>
      <c r="C21" s="15" t="s">
        <v>77</v>
      </c>
      <c r="D21" s="15"/>
      <c r="E21" s="15"/>
      <c r="F21" s="15"/>
      <c r="G21" s="15"/>
      <c r="H21" s="15"/>
      <c r="I21" s="15" t="s">
        <v>78</v>
      </c>
      <c r="J21" s="15"/>
      <c r="K21" s="15" t="s">
        <v>79</v>
      </c>
      <c r="L21" s="15"/>
      <c r="M21" s="15"/>
      <c r="N21" s="15"/>
      <c r="O21" s="15"/>
      <c r="P21" s="15"/>
      <c r="Q21" s="15"/>
      <c r="T21" s="10" t="str">
        <f aca="false">IF(B21&lt;&gt;"",TRIM(IFERROR(LEFT(B21,FIND("(",B21)-1),B21)),T20)</f>
        <v>Destronche</v>
      </c>
      <c r="U21" s="10" t="str">
        <f aca="false">IF(D21&lt;&gt;"",TRIM(IFERROR(LEFT(D21,FIND("(",D21)-1),D21)),U20)</f>
        <v>Packing</v>
      </c>
      <c r="V21" s="10" t="str">
        <f aca="false">IF(F21&lt;&gt;"",TRIM(IFERROR(LEFT(F21,FIND("(",F21)-1),F21)),V20)</f>
        <v/>
      </c>
      <c r="W21" s="10" t="str">
        <f aca="false">IF(H21&lt;&gt;"",TRIM(IFERROR(LEFT(H21,FIND("(",H21)-1),H21)),W20)</f>
        <v>Colgar</v>
      </c>
      <c r="X21" s="10" t="str">
        <f aca="false">IF(J21&lt;&gt;"",TRIM(IFERROR(LEFT(J21,FIND("(",J21)-1),J21)),X20)</f>
        <v>Cortar</v>
      </c>
      <c r="Y21" s="10" t="str">
        <f aca="false">IF(L21&lt;&gt;"",TRIM(IFERROR(LEFT(L21,FIND("(",L21)-1),L21)),Y20)</f>
        <v>Regar</v>
      </c>
      <c r="Z21" s="10" t="str">
        <f aca="false">IF(N21&lt;&gt;"",TRIM(IFERROR(LEFT(N21,FIND("(",N21)-1),N21)),Z20)</f>
        <v>Fresh frozen</v>
      </c>
      <c r="AA21" s="10" t="str">
        <f aca="false">IF(P21&lt;&gt;"",TRIM(IFERROR(LEFT(P21,FIND("(",P21)-1),P21)),AA20)</f>
        <v/>
      </c>
      <c r="AD21" s="10" t="str">
        <f aca="false">IF(C21="","",IF(T21="","(sin responsabilidad)",T21))</f>
        <v>Destronche</v>
      </c>
      <c r="AE21" s="10" t="str">
        <f aca="false">IF(E21="","",IF(U21="","(sin responsabilidad)",U21))</f>
        <v/>
      </c>
      <c r="AF21" s="10" t="str">
        <f aca="false">IF(G21="","",IF(V21="","(sin responsabilidad)",V21))</f>
        <v/>
      </c>
      <c r="AG21" s="10" t="str">
        <f aca="false">IF(I21="","",IF(W21="","(sin responsabilidad)",W21))</f>
        <v>Colgar</v>
      </c>
      <c r="AH21" s="10" t="str">
        <f aca="false">IF(K21="","",IF(X21="","(sin responsabilidad)",X21))</f>
        <v>Cortar</v>
      </c>
      <c r="AI21" s="10" t="str">
        <f aca="false">IF(M21="","",IF(Y21="","(sin responsabilidad)",Y21))</f>
        <v/>
      </c>
      <c r="AJ21" s="10" t="str">
        <f aca="false">IF(O21="","",IF(Z21="","(sin responsabilidad)",Z21))</f>
        <v/>
      </c>
      <c r="AK21" s="10" t="str">
        <f aca="false">IF(Q21="","",IF(AA21="","(sin responsabilidad)",AA21))</f>
        <v/>
      </c>
      <c r="AN21" s="10" t="str">
        <f aca="false">IF(C21="","",TRIM(IFERROR(LEFT(C21,FIND("(",C21)-1),C21)))</f>
        <v>Elena Garnica</v>
      </c>
      <c r="AO21" s="10" t="str">
        <f aca="false">IF(E21="","",TRIM(IFERROR(LEFT(E21,FIND("(",E21)-1),E21)))</f>
        <v/>
      </c>
      <c r="AP21" s="10" t="str">
        <f aca="false">IF(G21="","",TRIM(IFERROR(LEFT(G21,FIND("(",G21)-1),G21)))</f>
        <v/>
      </c>
      <c r="AQ21" s="10" t="str">
        <f aca="false">IF(I21="","",TRIM(IFERROR(LEFT(I21,FIND("(",I21)-1),I21)))</f>
        <v>David Martinez Juarez</v>
      </c>
      <c r="AR21" s="10" t="str">
        <f aca="false">IF(K21="","",TRIM(IFERROR(LEFT(K21,FIND("(",K21)-1),K21)))</f>
        <v>Alvaro Cruz Lopez</v>
      </c>
      <c r="AS21" s="10" t="str">
        <f aca="false">IF(M21="","",TRIM(IFERROR(LEFT(M21,FIND("(",M21)-1),M21)))</f>
        <v/>
      </c>
      <c r="AT21" s="10" t="str">
        <f aca="false">IF(O21="","",TRIM(IFERROR(LEFT(O21,FIND("(",O21)-1),O21)))</f>
        <v/>
      </c>
      <c r="AU21" s="10" t="str">
        <f aca="false">IF(Q21="","",TRIM(IFERROR(LEFT(Q21,FIND("(",Q21)-1),Q21)))</f>
        <v/>
      </c>
    </row>
    <row r="22" customFormat="false" ht="15" hidden="false" customHeight="false" outlineLevel="0" collapsed="false">
      <c r="A22" s="14" t="n">
        <v>8</v>
      </c>
      <c r="B22" s="15" t="s">
        <v>80</v>
      </c>
      <c r="C22" s="15" t="s">
        <v>81</v>
      </c>
      <c r="D22" s="15"/>
      <c r="E22" s="15"/>
      <c r="F22" s="15"/>
      <c r="G22" s="15"/>
      <c r="H22" s="15"/>
      <c r="I22" s="15" t="s">
        <v>82</v>
      </c>
      <c r="J22" s="15"/>
      <c r="K22" s="15" t="s">
        <v>83</v>
      </c>
      <c r="L22" s="15"/>
      <c r="M22" s="15"/>
      <c r="N22" s="15"/>
      <c r="O22" s="15"/>
      <c r="P22" s="15"/>
      <c r="Q22" s="15"/>
      <c r="T22" s="10" t="str">
        <f aca="false">IF(B22&lt;&gt;"",TRIM(IFERROR(LEFT(B22,FIND("(",B22)-1),B22)),T21)</f>
        <v>Desoje</v>
      </c>
      <c r="U22" s="10" t="str">
        <f aca="false">IF(D22&lt;&gt;"",TRIM(IFERROR(LEFT(D22,FIND("(",D22)-1),D22)),U21)</f>
        <v>Packing</v>
      </c>
      <c r="V22" s="10" t="str">
        <f aca="false">IF(F22&lt;&gt;"",TRIM(IFERROR(LEFT(F22,FIND("(",F22)-1),F22)),V21)</f>
        <v/>
      </c>
      <c r="W22" s="10" t="str">
        <f aca="false">IF(H22&lt;&gt;"",TRIM(IFERROR(LEFT(H22,FIND("(",H22)-1),H22)),W21)</f>
        <v>Colgar</v>
      </c>
      <c r="X22" s="10" t="str">
        <f aca="false">IF(J22&lt;&gt;"",TRIM(IFERROR(LEFT(J22,FIND("(",J22)-1),J22)),X21)</f>
        <v>Cortar</v>
      </c>
      <c r="Y22" s="10" t="str">
        <f aca="false">IF(L22&lt;&gt;"",TRIM(IFERROR(LEFT(L22,FIND("(",L22)-1),L22)),Y21)</f>
        <v>Regar</v>
      </c>
      <c r="Z22" s="10" t="str">
        <f aca="false">IF(N22&lt;&gt;"",TRIM(IFERROR(LEFT(N22,FIND("(",N22)-1),N22)),Z21)</f>
        <v>Fresh frozen</v>
      </c>
      <c r="AA22" s="10" t="str">
        <f aca="false">IF(P22&lt;&gt;"",TRIM(IFERROR(LEFT(P22,FIND("(",P22)-1),P22)),AA21)</f>
        <v/>
      </c>
      <c r="AD22" s="10" t="str">
        <f aca="false">IF(C22="","",IF(T22="","(sin responsabilidad)",T22))</f>
        <v>Desoje</v>
      </c>
      <c r="AE22" s="10" t="str">
        <f aca="false">IF(E22="","",IF(U22="","(sin responsabilidad)",U22))</f>
        <v/>
      </c>
      <c r="AF22" s="10" t="str">
        <f aca="false">IF(G22="","",IF(V22="","(sin responsabilidad)",V22))</f>
        <v/>
      </c>
      <c r="AG22" s="10" t="str">
        <f aca="false">IF(I22="","",IF(W22="","(sin responsabilidad)",W22))</f>
        <v>Colgar</v>
      </c>
      <c r="AH22" s="10" t="str">
        <f aca="false">IF(K22="","",IF(X22="","(sin responsabilidad)",X22))</f>
        <v>Cortar</v>
      </c>
      <c r="AI22" s="10" t="str">
        <f aca="false">IF(M22="","",IF(Y22="","(sin responsabilidad)",Y22))</f>
        <v/>
      </c>
      <c r="AJ22" s="10" t="str">
        <f aca="false">IF(O22="","",IF(Z22="","(sin responsabilidad)",Z22))</f>
        <v/>
      </c>
      <c r="AK22" s="10" t="str">
        <f aca="false">IF(Q22="","",IF(AA22="","(sin responsabilidad)",AA22))</f>
        <v/>
      </c>
      <c r="AN22" s="10" t="str">
        <f aca="false">IF(C22="","",TRIM(IFERROR(LEFT(C22,FIND("(",C22)-1),C22)))</f>
        <v>Rosa Baeza</v>
      </c>
      <c r="AO22" s="10" t="str">
        <f aca="false">IF(E22="","",TRIM(IFERROR(LEFT(E22,FIND("(",E22)-1),E22)))</f>
        <v/>
      </c>
      <c r="AP22" s="10" t="str">
        <f aca="false">IF(G22="","",TRIM(IFERROR(LEFT(G22,FIND("(",G22)-1),G22)))</f>
        <v/>
      </c>
      <c r="AQ22" s="10" t="str">
        <f aca="false">IF(I22="","",TRIM(IFERROR(LEFT(I22,FIND("(",I22)-1),I22)))</f>
        <v>Alex Palacios</v>
      </c>
      <c r="AR22" s="10" t="str">
        <f aca="false">IF(K22="","",TRIM(IFERROR(LEFT(K22,FIND("(",K22)-1),K22)))</f>
        <v>Edi Yunue Vega Bustamante</v>
      </c>
      <c r="AS22" s="10" t="str">
        <f aca="false">IF(M22="","",TRIM(IFERROR(LEFT(M22,FIND("(",M22)-1),M22)))</f>
        <v/>
      </c>
      <c r="AT22" s="10" t="str">
        <f aca="false">IF(O22="","",TRIM(IFERROR(LEFT(O22,FIND("(",O22)-1),O22)))</f>
        <v/>
      </c>
      <c r="AU22" s="10" t="str">
        <f aca="false">IF(Q22="","",TRIM(IFERROR(LEFT(Q22,FIND("(",Q22)-1),Q22)))</f>
        <v/>
      </c>
    </row>
    <row r="23" customFormat="false" ht="15" hidden="false" customHeight="false" outlineLevel="0" collapsed="false">
      <c r="A23" s="14" t="n">
        <v>9</v>
      </c>
      <c r="B23" s="15"/>
      <c r="C23" s="15" t="s">
        <v>84</v>
      </c>
      <c r="D23" s="15"/>
      <c r="E23" s="15"/>
      <c r="F23" s="15"/>
      <c r="G23" s="15"/>
      <c r="H23" s="15"/>
      <c r="I23" s="15" t="s">
        <v>85</v>
      </c>
      <c r="J23" s="15"/>
      <c r="K23" s="15" t="s">
        <v>86</v>
      </c>
      <c r="L23" s="15"/>
      <c r="M23" s="15"/>
      <c r="N23" s="15"/>
      <c r="O23" s="15"/>
      <c r="P23" s="15"/>
      <c r="Q23" s="15"/>
      <c r="T23" s="10" t="str">
        <f aca="false">IF(B23&lt;&gt;"",TRIM(IFERROR(LEFT(B23,FIND("(",B23)-1),B23)),T22)</f>
        <v>Desoje</v>
      </c>
      <c r="U23" s="10" t="str">
        <f aca="false">IF(D23&lt;&gt;"",TRIM(IFERROR(LEFT(D23,FIND("(",D23)-1),D23)),U22)</f>
        <v>Packing</v>
      </c>
      <c r="V23" s="10" t="str">
        <f aca="false">IF(F23&lt;&gt;"",TRIM(IFERROR(LEFT(F23,FIND("(",F23)-1),F23)),V22)</f>
        <v/>
      </c>
      <c r="W23" s="10" t="str">
        <f aca="false">IF(H23&lt;&gt;"",TRIM(IFERROR(LEFT(H23,FIND("(",H23)-1),H23)),W22)</f>
        <v>Colgar</v>
      </c>
      <c r="X23" s="10" t="str">
        <f aca="false">IF(J23&lt;&gt;"",TRIM(IFERROR(LEFT(J23,FIND("(",J23)-1),J23)),X22)</f>
        <v>Cortar</v>
      </c>
      <c r="Y23" s="10" t="str">
        <f aca="false">IF(L23&lt;&gt;"",TRIM(IFERROR(LEFT(L23,FIND("(",L23)-1),L23)),Y22)</f>
        <v>Regar</v>
      </c>
      <c r="Z23" s="10" t="str">
        <f aca="false">IF(N23&lt;&gt;"",TRIM(IFERROR(LEFT(N23,FIND("(",N23)-1),N23)),Z22)</f>
        <v>Fresh frozen</v>
      </c>
      <c r="AA23" s="10" t="str">
        <f aca="false">IF(P23&lt;&gt;"",TRIM(IFERROR(LEFT(P23,FIND("(",P23)-1),P23)),AA22)</f>
        <v/>
      </c>
      <c r="AD23" s="10" t="str">
        <f aca="false">IF(C23="","",IF(T23="","(sin responsabilidad)",T23))</f>
        <v>Desoje</v>
      </c>
      <c r="AE23" s="10" t="str">
        <f aca="false">IF(E23="","",IF(U23="","(sin responsabilidad)",U23))</f>
        <v/>
      </c>
      <c r="AF23" s="10" t="str">
        <f aca="false">IF(G23="","",IF(V23="","(sin responsabilidad)",V23))</f>
        <v/>
      </c>
      <c r="AG23" s="10" t="str">
        <f aca="false">IF(I23="","",IF(W23="","(sin responsabilidad)",W23))</f>
        <v>Colgar</v>
      </c>
      <c r="AH23" s="10" t="str">
        <f aca="false">IF(K23="","",IF(X23="","(sin responsabilidad)",X23))</f>
        <v>Cortar</v>
      </c>
      <c r="AI23" s="10" t="str">
        <f aca="false">IF(M23="","",IF(Y23="","(sin responsabilidad)",Y23))</f>
        <v/>
      </c>
      <c r="AJ23" s="10" t="str">
        <f aca="false">IF(O23="","",IF(Z23="","(sin responsabilidad)",Z23))</f>
        <v/>
      </c>
      <c r="AK23" s="10" t="str">
        <f aca="false">IF(Q23="","",IF(AA23="","(sin responsabilidad)",AA23))</f>
        <v/>
      </c>
      <c r="AN23" s="10" t="str">
        <f aca="false">IF(C23="","",TRIM(IFERROR(LEFT(C23,FIND("(",C23)-1),C23)))</f>
        <v>Maria Herlinda Zavala</v>
      </c>
      <c r="AO23" s="10" t="str">
        <f aca="false">IF(E23="","",TRIM(IFERROR(LEFT(E23,FIND("(",E23)-1),E23)))</f>
        <v/>
      </c>
      <c r="AP23" s="10" t="str">
        <f aca="false">IF(G23="","",TRIM(IFERROR(LEFT(G23,FIND("(",G23)-1),G23)))</f>
        <v/>
      </c>
      <c r="AQ23" s="10" t="str">
        <f aca="false">IF(I23="","",TRIM(IFERROR(LEFT(I23,FIND("(",I23)-1),I23)))</f>
        <v>Eduardo Leon</v>
      </c>
      <c r="AR23" s="10" t="str">
        <f aca="false">IF(K23="","",TRIM(IFERROR(LEFT(K23,FIND("(",K23)-1),K23)))</f>
        <v>Gilberto Diaz</v>
      </c>
      <c r="AS23" s="10" t="str">
        <f aca="false">IF(M23="","",TRIM(IFERROR(LEFT(M23,FIND("(",M23)-1),M23)))</f>
        <v/>
      </c>
      <c r="AT23" s="10" t="str">
        <f aca="false">IF(O23="","",TRIM(IFERROR(LEFT(O23,FIND("(",O23)-1),O23)))</f>
        <v/>
      </c>
      <c r="AU23" s="10" t="str">
        <f aca="false">IF(Q23="","",TRIM(IFERROR(LEFT(Q23,FIND("(",Q23)-1),Q23)))</f>
        <v/>
      </c>
    </row>
    <row r="24" customFormat="false" ht="15" hidden="false" customHeight="false" outlineLevel="0" collapsed="false">
      <c r="A24" s="14" t="n">
        <v>10</v>
      </c>
      <c r="B24" s="15"/>
      <c r="C24" s="15" t="s">
        <v>87</v>
      </c>
      <c r="D24" s="15"/>
      <c r="E24" s="15"/>
      <c r="F24" s="15"/>
      <c r="G24" s="15"/>
      <c r="H24" s="15" t="s">
        <v>88</v>
      </c>
      <c r="I24" s="15" t="s">
        <v>89</v>
      </c>
      <c r="J24" s="15" t="s">
        <v>90</v>
      </c>
      <c r="K24" s="15" t="s">
        <v>91</v>
      </c>
      <c r="L24" s="15"/>
      <c r="M24" s="15"/>
      <c r="N24" s="15"/>
      <c r="O24" s="15"/>
      <c r="P24" s="15"/>
      <c r="Q24" s="15"/>
      <c r="T24" s="10" t="str">
        <f aca="false">IF(B24&lt;&gt;"",TRIM(IFERROR(LEFT(B24,FIND("(",B24)-1),B24)),T23)</f>
        <v>Desoje</v>
      </c>
      <c r="U24" s="10" t="str">
        <f aca="false">IF(D24&lt;&gt;"",TRIM(IFERROR(LEFT(D24,FIND("(",D24)-1),D24)),U23)</f>
        <v>Packing</v>
      </c>
      <c r="V24" s="10" t="str">
        <f aca="false">IF(F24&lt;&gt;"",TRIM(IFERROR(LEFT(F24,FIND("(",F24)-1),F24)),V23)</f>
        <v/>
      </c>
      <c r="W24" s="10" t="str">
        <f aca="false">IF(H24&lt;&gt;"",TRIM(IFERROR(LEFT(H24,FIND("(",H24)-1),H24)),W23)</f>
        <v>Cuartos</v>
      </c>
      <c r="X24" s="10" t="str">
        <f aca="false">IF(J24&lt;&gt;"",TRIM(IFERROR(LEFT(J24,FIND("(",J24)-1),J24)),X23)</f>
        <v>Chofer</v>
      </c>
      <c r="Y24" s="10" t="str">
        <f aca="false">IF(L24&lt;&gt;"",TRIM(IFERROR(LEFT(L24,FIND("(",L24)-1),L24)),Y23)</f>
        <v>Regar</v>
      </c>
      <c r="Z24" s="10" t="str">
        <f aca="false">IF(N24&lt;&gt;"",TRIM(IFERROR(LEFT(N24,FIND("(",N24)-1),N24)),Z23)</f>
        <v>Fresh frozen</v>
      </c>
      <c r="AA24" s="10" t="str">
        <f aca="false">IF(P24&lt;&gt;"",TRIM(IFERROR(LEFT(P24,FIND("(",P24)-1),P24)),AA23)</f>
        <v/>
      </c>
      <c r="AD24" s="10" t="str">
        <f aca="false">IF(C24="","",IF(T24="","(sin responsabilidad)",T24))</f>
        <v>Desoje</v>
      </c>
      <c r="AE24" s="10" t="str">
        <f aca="false">IF(E24="","",IF(U24="","(sin responsabilidad)",U24))</f>
        <v/>
      </c>
      <c r="AF24" s="10" t="str">
        <f aca="false">IF(G24="","",IF(V24="","(sin responsabilidad)",V24))</f>
        <v/>
      </c>
      <c r="AG24" s="10" t="str">
        <f aca="false">IF(I24="","",IF(W24="","(sin responsabilidad)",W24))</f>
        <v>Cuartos</v>
      </c>
      <c r="AH24" s="10" t="str">
        <f aca="false">IF(K24="","",IF(X24="","(sin responsabilidad)",X24))</f>
        <v>Chofer</v>
      </c>
      <c r="AI24" s="10" t="str">
        <f aca="false">IF(M24="","",IF(Y24="","(sin responsabilidad)",Y24))</f>
        <v/>
      </c>
      <c r="AJ24" s="10" t="str">
        <f aca="false">IF(O24="","",IF(Z24="","(sin responsabilidad)",Z24))</f>
        <v/>
      </c>
      <c r="AK24" s="10" t="str">
        <f aca="false">IF(Q24="","",IF(AA24="","(sin responsabilidad)",AA24))</f>
        <v/>
      </c>
      <c r="AN24" s="10" t="str">
        <f aca="false">IF(C24="","",TRIM(IFERROR(LEFT(C24,FIND("(",C24)-1),C24)))</f>
        <v>Raquel Garcia</v>
      </c>
      <c r="AO24" s="10" t="str">
        <f aca="false">IF(E24="","",TRIM(IFERROR(LEFT(E24,FIND("(",E24)-1),E24)))</f>
        <v/>
      </c>
      <c r="AP24" s="10" t="str">
        <f aca="false">IF(G24="","",TRIM(IFERROR(LEFT(G24,FIND("(",G24)-1),G24)))</f>
        <v/>
      </c>
      <c r="AQ24" s="10" t="str">
        <f aca="false">IF(I24="","",TRIM(IFERROR(LEFT(I24,FIND("(",I24)-1),I24)))</f>
        <v>Kevin Sicairos</v>
      </c>
      <c r="AR24" s="10" t="str">
        <f aca="false">IF(K24="","",TRIM(IFERROR(LEFT(K24,FIND("(",K24)-1),K24)))</f>
        <v>Jorge Rojas</v>
      </c>
      <c r="AS24" s="10" t="str">
        <f aca="false">IF(M24="","",TRIM(IFERROR(LEFT(M24,FIND("(",M24)-1),M24)))</f>
        <v/>
      </c>
      <c r="AT24" s="10" t="str">
        <f aca="false">IF(O24="","",TRIM(IFERROR(LEFT(O24,FIND("(",O24)-1),O24)))</f>
        <v/>
      </c>
      <c r="AU24" s="10" t="str">
        <f aca="false">IF(Q24="","",TRIM(IFERROR(LEFT(Q24,FIND("(",Q24)-1),Q24)))</f>
        <v/>
      </c>
    </row>
    <row r="25" customFormat="false" ht="15" hidden="false" customHeight="false" outlineLevel="0" collapsed="false">
      <c r="A25" s="14" t="n">
        <v>11</v>
      </c>
      <c r="B25" s="15"/>
      <c r="C25" s="15" t="s">
        <v>92</v>
      </c>
      <c r="D25" s="15"/>
      <c r="E25" s="15"/>
      <c r="F25" s="15"/>
      <c r="G25" s="15"/>
      <c r="H25" s="15"/>
      <c r="I25" s="15"/>
      <c r="J25" s="15"/>
      <c r="K25" s="15" t="s">
        <v>93</v>
      </c>
      <c r="L25" s="15"/>
      <c r="M25" s="15"/>
      <c r="N25" s="15"/>
      <c r="O25" s="15"/>
      <c r="P25" s="15"/>
      <c r="Q25" s="15"/>
      <c r="T25" s="10" t="str">
        <f aca="false">IF(B25&lt;&gt;"",TRIM(IFERROR(LEFT(B25,FIND("(",B25)-1),B25)),T24)</f>
        <v>Desoje</v>
      </c>
      <c r="U25" s="10" t="str">
        <f aca="false">IF(D25&lt;&gt;"",TRIM(IFERROR(LEFT(D25,FIND("(",D25)-1),D25)),U24)</f>
        <v>Packing</v>
      </c>
      <c r="V25" s="10" t="str">
        <f aca="false">IF(F25&lt;&gt;"",TRIM(IFERROR(LEFT(F25,FIND("(",F25)-1),F25)),V24)</f>
        <v/>
      </c>
      <c r="W25" s="10" t="str">
        <f aca="false">IF(H25&lt;&gt;"",TRIM(IFERROR(LEFT(H25,FIND("(",H25)-1),H25)),W24)</f>
        <v>Cuartos</v>
      </c>
      <c r="X25" s="10" t="str">
        <f aca="false">IF(J25&lt;&gt;"",TRIM(IFERROR(LEFT(J25,FIND("(",J25)-1),J25)),X24)</f>
        <v>Chofer</v>
      </c>
      <c r="Y25" s="10" t="str">
        <f aca="false">IF(L25&lt;&gt;"",TRIM(IFERROR(LEFT(L25,FIND("(",L25)-1),L25)),Y24)</f>
        <v>Regar</v>
      </c>
      <c r="Z25" s="10" t="str">
        <f aca="false">IF(N25&lt;&gt;"",TRIM(IFERROR(LEFT(N25,FIND("(",N25)-1),N25)),Z24)</f>
        <v>Fresh frozen</v>
      </c>
      <c r="AA25" s="10" t="str">
        <f aca="false">IF(P25&lt;&gt;"",TRIM(IFERROR(LEFT(P25,FIND("(",P25)-1),P25)),AA24)</f>
        <v/>
      </c>
      <c r="AD25" s="10" t="str">
        <f aca="false">IF(C25="","",IF(T25="","(sin responsabilidad)",T25))</f>
        <v>Desoje</v>
      </c>
      <c r="AE25" s="10" t="str">
        <f aca="false">IF(E25="","",IF(U25="","(sin responsabilidad)",U25))</f>
        <v/>
      </c>
      <c r="AF25" s="10" t="str">
        <f aca="false">IF(G25="","",IF(V25="","(sin responsabilidad)",V25))</f>
        <v/>
      </c>
      <c r="AG25" s="10" t="str">
        <f aca="false">IF(I25="","",IF(W25="","(sin responsabilidad)",W25))</f>
        <v/>
      </c>
      <c r="AH25" s="10" t="str">
        <f aca="false">IF(K25="","",IF(X25="","(sin responsabilidad)",X25))</f>
        <v>Chofer</v>
      </c>
      <c r="AI25" s="10" t="str">
        <f aca="false">IF(M25="","",IF(Y25="","(sin responsabilidad)",Y25))</f>
        <v/>
      </c>
      <c r="AJ25" s="10" t="str">
        <f aca="false">IF(O25="","",IF(Z25="","(sin responsabilidad)",Z25))</f>
        <v/>
      </c>
      <c r="AK25" s="10" t="str">
        <f aca="false">IF(Q25="","",IF(AA25="","(sin responsabilidad)",AA25))</f>
        <v/>
      </c>
      <c r="AN25" s="10" t="str">
        <f aca="false">IF(C25="","",TRIM(IFERROR(LEFT(C25,FIND("(",C25)-1),C25)))</f>
        <v>Alma Garcia</v>
      </c>
      <c r="AO25" s="10" t="str">
        <f aca="false">IF(E25="","",TRIM(IFERROR(LEFT(E25,FIND("(",E25)-1),E25)))</f>
        <v/>
      </c>
      <c r="AP25" s="10" t="str">
        <f aca="false">IF(G25="","",TRIM(IFERROR(LEFT(G25,FIND("(",G25)-1),G25)))</f>
        <v/>
      </c>
      <c r="AQ25" s="10" t="str">
        <f aca="false">IF(I25="","",TRIM(IFERROR(LEFT(I25,FIND("(",I25)-1),I25)))</f>
        <v/>
      </c>
      <c r="AR25" s="10" t="str">
        <f aca="false">IF(K25="","",TRIM(IFERROR(LEFT(K25,FIND("(",K25)-1),K25)))</f>
        <v>Ernesto Daniel Sicairos</v>
      </c>
      <c r="AS25" s="10" t="str">
        <f aca="false">IF(M25="","",TRIM(IFERROR(LEFT(M25,FIND("(",M25)-1),M25)))</f>
        <v/>
      </c>
      <c r="AT25" s="10" t="str">
        <f aca="false">IF(O25="","",TRIM(IFERROR(LEFT(O25,FIND("(",O25)-1),O25)))</f>
        <v/>
      </c>
      <c r="AU25" s="10" t="str">
        <f aca="false">IF(Q25="","",TRIM(IFERROR(LEFT(Q25,FIND("(",Q25)-1),Q25)))</f>
        <v/>
      </c>
    </row>
    <row r="26" customFormat="false" ht="15" hidden="false" customHeight="false" outlineLevel="0" collapsed="false">
      <c r="A26" s="14" t="n">
        <v>12</v>
      </c>
      <c r="B26" s="15"/>
      <c r="C26" s="15" t="s">
        <v>94</v>
      </c>
      <c r="D26" s="15"/>
      <c r="E26" s="15"/>
      <c r="F26" s="15"/>
      <c r="G26" s="15"/>
      <c r="H26" s="15"/>
      <c r="I26" s="15"/>
      <c r="J26" s="15"/>
      <c r="K26" s="15" t="s">
        <v>95</v>
      </c>
      <c r="L26" s="15"/>
      <c r="M26" s="15"/>
      <c r="N26" s="15"/>
      <c r="O26" s="15"/>
      <c r="P26" s="15"/>
      <c r="Q26" s="15"/>
      <c r="T26" s="10" t="str">
        <f aca="false">IF(B26&lt;&gt;"",TRIM(IFERROR(LEFT(B26,FIND("(",B26)-1),B26)),T25)</f>
        <v>Desoje</v>
      </c>
      <c r="U26" s="10" t="str">
        <f aca="false">IF(D26&lt;&gt;"",TRIM(IFERROR(LEFT(D26,FIND("(",D26)-1),D26)),U25)</f>
        <v>Packing</v>
      </c>
      <c r="V26" s="10" t="str">
        <f aca="false">IF(F26&lt;&gt;"",TRIM(IFERROR(LEFT(F26,FIND("(",F26)-1),F26)),V25)</f>
        <v/>
      </c>
      <c r="W26" s="10" t="str">
        <f aca="false">IF(H26&lt;&gt;"",TRIM(IFERROR(LEFT(H26,FIND("(",H26)-1),H26)),W25)</f>
        <v>Cuartos</v>
      </c>
      <c r="X26" s="10" t="str">
        <f aca="false">IF(J26&lt;&gt;"",TRIM(IFERROR(LEFT(J26,FIND("(",J26)-1),J26)),X25)</f>
        <v>Chofer</v>
      </c>
      <c r="Y26" s="10" t="str">
        <f aca="false">IF(L26&lt;&gt;"",TRIM(IFERROR(LEFT(L26,FIND("(",L26)-1),L26)),Y25)</f>
        <v>Regar</v>
      </c>
      <c r="Z26" s="10" t="str">
        <f aca="false">IF(N26&lt;&gt;"",TRIM(IFERROR(LEFT(N26,FIND("(",N26)-1),N26)),Z25)</f>
        <v>Fresh frozen</v>
      </c>
      <c r="AA26" s="10" t="str">
        <f aca="false">IF(P26&lt;&gt;"",TRIM(IFERROR(LEFT(P26,FIND("(",P26)-1),P26)),AA25)</f>
        <v/>
      </c>
      <c r="AD26" s="10" t="str">
        <f aca="false">IF(C26="","",IF(T26="","(sin responsabilidad)",T26))</f>
        <v>Desoje</v>
      </c>
      <c r="AE26" s="10" t="str">
        <f aca="false">IF(E26="","",IF(U26="","(sin responsabilidad)",U26))</f>
        <v/>
      </c>
      <c r="AF26" s="10" t="str">
        <f aca="false">IF(G26="","",IF(V26="","(sin responsabilidad)",V26))</f>
        <v/>
      </c>
      <c r="AG26" s="10" t="str">
        <f aca="false">IF(I26="","",IF(W26="","(sin responsabilidad)",W26))</f>
        <v/>
      </c>
      <c r="AH26" s="10" t="str">
        <f aca="false">IF(K26="","",IF(X26="","(sin responsabilidad)",X26))</f>
        <v>Chofer</v>
      </c>
      <c r="AI26" s="10" t="str">
        <f aca="false">IF(M26="","",IF(Y26="","(sin responsabilidad)",Y26))</f>
        <v/>
      </c>
      <c r="AJ26" s="10" t="str">
        <f aca="false">IF(O26="","",IF(Z26="","(sin responsabilidad)",Z26))</f>
        <v/>
      </c>
      <c r="AK26" s="10" t="str">
        <f aca="false">IF(Q26="","",IF(AA26="","(sin responsabilidad)",AA26))</f>
        <v/>
      </c>
      <c r="AN26" s="10" t="str">
        <f aca="false">IF(C26="","",TRIM(IFERROR(LEFT(C26,FIND("(",C26)-1),C26)))</f>
        <v>Yuliana Rivas Garcia</v>
      </c>
      <c r="AO26" s="10" t="str">
        <f aca="false">IF(E26="","",TRIM(IFERROR(LEFT(E26,FIND("(",E26)-1),E26)))</f>
        <v/>
      </c>
      <c r="AP26" s="10" t="str">
        <f aca="false">IF(G26="","",TRIM(IFERROR(LEFT(G26,FIND("(",G26)-1),G26)))</f>
        <v/>
      </c>
      <c r="AQ26" s="10" t="str">
        <f aca="false">IF(I26="","",TRIM(IFERROR(LEFT(I26,FIND("(",I26)-1),I26)))</f>
        <v/>
      </c>
      <c r="AR26" s="10" t="str">
        <f aca="false">IF(K26="","",TRIM(IFERROR(LEFT(K26,FIND("(",K26)-1),K26)))</f>
        <v>Antonio Rivas</v>
      </c>
      <c r="AS26" s="10" t="str">
        <f aca="false">IF(M26="","",TRIM(IFERROR(LEFT(M26,FIND("(",M26)-1),M26)))</f>
        <v/>
      </c>
      <c r="AT26" s="10" t="str">
        <f aca="false">IF(O26="","",TRIM(IFERROR(LEFT(O26,FIND("(",O26)-1),O26)))</f>
        <v/>
      </c>
      <c r="AU26" s="10" t="str">
        <f aca="false">IF(Q26="","",TRIM(IFERROR(LEFT(Q26,FIND("(",Q26)-1),Q26)))</f>
        <v/>
      </c>
    </row>
    <row r="27" customFormat="false" ht="15" hidden="false" customHeight="false" outlineLevel="0" collapsed="false">
      <c r="A27" s="14" t="n">
        <v>13</v>
      </c>
      <c r="B27" s="15"/>
      <c r="C27" s="15" t="s">
        <v>96</v>
      </c>
      <c r="D27" s="15"/>
      <c r="E27" s="15"/>
      <c r="F27" s="15"/>
      <c r="G27" s="15"/>
      <c r="H27" s="15"/>
      <c r="I27" s="15"/>
      <c r="J27" s="15"/>
      <c r="K27" s="15" t="s">
        <v>97</v>
      </c>
      <c r="L27" s="15"/>
      <c r="M27" s="15"/>
      <c r="N27" s="15"/>
      <c r="O27" s="15"/>
      <c r="P27" s="15"/>
      <c r="Q27" s="15"/>
      <c r="T27" s="10" t="str">
        <f aca="false">IF(B27&lt;&gt;"",TRIM(IFERROR(LEFT(B27,FIND("(",B27)-1),B27)),T26)</f>
        <v>Desoje</v>
      </c>
      <c r="U27" s="10" t="str">
        <f aca="false">IF(D27&lt;&gt;"",TRIM(IFERROR(LEFT(D27,FIND("(",D27)-1),D27)),U26)</f>
        <v>Packing</v>
      </c>
      <c r="V27" s="10" t="str">
        <f aca="false">IF(F27&lt;&gt;"",TRIM(IFERROR(LEFT(F27,FIND("(",F27)-1),F27)),V26)</f>
        <v/>
      </c>
      <c r="W27" s="10" t="str">
        <f aca="false">IF(H27&lt;&gt;"",TRIM(IFERROR(LEFT(H27,FIND("(",H27)-1),H27)),W26)</f>
        <v>Cuartos</v>
      </c>
      <c r="X27" s="10" t="str">
        <f aca="false">IF(J27&lt;&gt;"",TRIM(IFERROR(LEFT(J27,FIND("(",J27)-1),J27)),X26)</f>
        <v>Chofer</v>
      </c>
      <c r="Y27" s="10" t="str">
        <f aca="false">IF(L27&lt;&gt;"",TRIM(IFERROR(LEFT(L27,FIND("(",L27)-1),L27)),Y26)</f>
        <v>Regar</v>
      </c>
      <c r="Z27" s="10" t="str">
        <f aca="false">IF(N27&lt;&gt;"",TRIM(IFERROR(LEFT(N27,FIND("(",N27)-1),N27)),Z26)</f>
        <v>Fresh frozen</v>
      </c>
      <c r="AA27" s="10" t="str">
        <f aca="false">IF(P27&lt;&gt;"",TRIM(IFERROR(LEFT(P27,FIND("(",P27)-1),P27)),AA26)</f>
        <v/>
      </c>
      <c r="AD27" s="10" t="str">
        <f aca="false">IF(C27="","",IF(T27="","(sin responsabilidad)",T27))</f>
        <v>Desoje</v>
      </c>
      <c r="AE27" s="10" t="str">
        <f aca="false">IF(E27="","",IF(U27="","(sin responsabilidad)",U27))</f>
        <v/>
      </c>
      <c r="AF27" s="10" t="str">
        <f aca="false">IF(G27="","",IF(V27="","(sin responsabilidad)",V27))</f>
        <v/>
      </c>
      <c r="AG27" s="10" t="str">
        <f aca="false">IF(I27="","",IF(W27="","(sin responsabilidad)",W27))</f>
        <v/>
      </c>
      <c r="AH27" s="10" t="str">
        <f aca="false">IF(K27="","",IF(X27="","(sin responsabilidad)",X27))</f>
        <v>Chofer</v>
      </c>
      <c r="AI27" s="10" t="str">
        <f aca="false">IF(M27="","",IF(Y27="","(sin responsabilidad)",Y27))</f>
        <v/>
      </c>
      <c r="AJ27" s="10" t="str">
        <f aca="false">IF(O27="","",IF(Z27="","(sin responsabilidad)",Z27))</f>
        <v/>
      </c>
      <c r="AK27" s="10" t="str">
        <f aca="false">IF(Q27="","",IF(AA27="","(sin responsabilidad)",AA27))</f>
        <v/>
      </c>
      <c r="AN27" s="10" t="str">
        <f aca="false">IF(C27="","",TRIM(IFERROR(LEFT(C27,FIND("(",C27)-1),C27)))</f>
        <v>Sr. Juan Ninche</v>
      </c>
      <c r="AO27" s="10" t="str">
        <f aca="false">IF(E27="","",TRIM(IFERROR(LEFT(E27,FIND("(",E27)-1),E27)))</f>
        <v/>
      </c>
      <c r="AP27" s="10" t="str">
        <f aca="false">IF(G27="","",TRIM(IFERROR(LEFT(G27,FIND("(",G27)-1),G27)))</f>
        <v/>
      </c>
      <c r="AQ27" s="10" t="str">
        <f aca="false">IF(I27="","",TRIM(IFERROR(LEFT(I27,FIND("(",I27)-1),I27)))</f>
        <v/>
      </c>
      <c r="AR27" s="10" t="str">
        <f aca="false">IF(K27="","",TRIM(IFERROR(LEFT(K27,FIND("(",K27)-1),K27)))</f>
        <v>Antonio Sonato</v>
      </c>
      <c r="AS27" s="10" t="str">
        <f aca="false">IF(M27="","",TRIM(IFERROR(LEFT(M27,FIND("(",M27)-1),M27)))</f>
        <v/>
      </c>
      <c r="AT27" s="10" t="str">
        <f aca="false">IF(O27="","",TRIM(IFERROR(LEFT(O27,FIND("(",O27)-1),O27)))</f>
        <v/>
      </c>
      <c r="AU27" s="10" t="str">
        <f aca="false">IF(Q27="","",TRIM(IFERROR(LEFT(Q27,FIND("(",Q27)-1),Q27)))</f>
        <v/>
      </c>
    </row>
    <row r="28" customFormat="false" ht="15" hidden="false" customHeight="false" outlineLevel="0" collapsed="false">
      <c r="A28" s="14" t="n">
        <v>14</v>
      </c>
      <c r="B28" s="15"/>
      <c r="C28" s="15" t="s">
        <v>98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T28" s="10" t="str">
        <f aca="false">IF(B28&lt;&gt;"",TRIM(IFERROR(LEFT(B28,FIND("(",B28)-1),B28)),T27)</f>
        <v>Desoje</v>
      </c>
      <c r="U28" s="10" t="str">
        <f aca="false">IF(D28&lt;&gt;"",TRIM(IFERROR(LEFT(D28,FIND("(",D28)-1),D28)),U27)</f>
        <v>Packing</v>
      </c>
      <c r="V28" s="10" t="str">
        <f aca="false">IF(F28&lt;&gt;"",TRIM(IFERROR(LEFT(F28,FIND("(",F28)-1),F28)),V27)</f>
        <v/>
      </c>
      <c r="W28" s="10" t="str">
        <f aca="false">IF(H28&lt;&gt;"",TRIM(IFERROR(LEFT(H28,FIND("(",H28)-1),H28)),W27)</f>
        <v>Cuartos</v>
      </c>
      <c r="X28" s="10" t="str">
        <f aca="false">IF(J28&lt;&gt;"",TRIM(IFERROR(LEFT(J28,FIND("(",J28)-1),J28)),X27)</f>
        <v>Chofer</v>
      </c>
      <c r="Y28" s="10" t="str">
        <f aca="false">IF(L28&lt;&gt;"",TRIM(IFERROR(LEFT(L28,FIND("(",L28)-1),L28)),Y27)</f>
        <v>Regar</v>
      </c>
      <c r="Z28" s="10" t="str">
        <f aca="false">IF(N28&lt;&gt;"",TRIM(IFERROR(LEFT(N28,FIND("(",N28)-1),N28)),Z27)</f>
        <v>Fresh frozen</v>
      </c>
      <c r="AA28" s="10" t="str">
        <f aca="false">IF(P28&lt;&gt;"",TRIM(IFERROR(LEFT(P28,FIND("(",P28)-1),P28)),AA27)</f>
        <v/>
      </c>
      <c r="AD28" s="10" t="str">
        <f aca="false">IF(C28="","",IF(T28="","(sin responsabilidad)",T28))</f>
        <v>Desoje</v>
      </c>
      <c r="AE28" s="10" t="str">
        <f aca="false">IF(E28="","",IF(U28="","(sin responsabilidad)",U28))</f>
        <v/>
      </c>
      <c r="AF28" s="10" t="str">
        <f aca="false">IF(G28="","",IF(V28="","(sin responsabilidad)",V28))</f>
        <v/>
      </c>
      <c r="AG28" s="10" t="str">
        <f aca="false">IF(I28="","",IF(W28="","(sin responsabilidad)",W28))</f>
        <v/>
      </c>
      <c r="AH28" s="10" t="str">
        <f aca="false">IF(K28="","",IF(X28="","(sin responsabilidad)",X28))</f>
        <v/>
      </c>
      <c r="AI28" s="10" t="str">
        <f aca="false">IF(M28="","",IF(Y28="","(sin responsabilidad)",Y28))</f>
        <v/>
      </c>
      <c r="AJ28" s="10" t="str">
        <f aca="false">IF(O28="","",IF(Z28="","(sin responsabilidad)",Z28))</f>
        <v/>
      </c>
      <c r="AK28" s="10" t="str">
        <f aca="false">IF(Q28="","",IF(AA28="","(sin responsabilidad)",AA28))</f>
        <v/>
      </c>
      <c r="AN28" s="10" t="str">
        <f aca="false">IF(C28="","",TRIM(IFERROR(LEFT(C28,FIND("(",C28)-1),C28)))</f>
        <v>Flor Sierra</v>
      </c>
      <c r="AO28" s="10" t="str">
        <f aca="false">IF(E28="","",TRIM(IFERROR(LEFT(E28,FIND("(",E28)-1),E28)))</f>
        <v/>
      </c>
      <c r="AP28" s="10" t="str">
        <f aca="false">IF(G28="","",TRIM(IFERROR(LEFT(G28,FIND("(",G28)-1),G28)))</f>
        <v/>
      </c>
      <c r="AQ28" s="10" t="str">
        <f aca="false">IF(I28="","",TRIM(IFERROR(LEFT(I28,FIND("(",I28)-1),I28)))</f>
        <v/>
      </c>
      <c r="AR28" s="10" t="str">
        <f aca="false">IF(K28="","",TRIM(IFERROR(LEFT(K28,FIND("(",K28)-1),K28)))</f>
        <v/>
      </c>
      <c r="AS28" s="10" t="str">
        <f aca="false">IF(M28="","",TRIM(IFERROR(LEFT(M28,FIND("(",M28)-1),M28)))</f>
        <v/>
      </c>
      <c r="AT28" s="10" t="str">
        <f aca="false">IF(O28="","",TRIM(IFERROR(LEFT(O28,FIND("(",O28)-1),O28)))</f>
        <v/>
      </c>
      <c r="AU28" s="10" t="str">
        <f aca="false">IF(Q28="","",TRIM(IFERROR(LEFT(Q28,FIND("(",Q28)-1),Q28)))</f>
        <v/>
      </c>
    </row>
    <row r="29" customFormat="false" ht="15" hidden="false" customHeight="false" outlineLevel="0" collapsed="false">
      <c r="A29" s="14" t="n">
        <v>15</v>
      </c>
      <c r="B29" s="15"/>
      <c r="C29" s="15" t="s">
        <v>99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T29" s="10" t="str">
        <f aca="false">IF(B29&lt;&gt;"",TRIM(IFERROR(LEFT(B29,FIND("(",B29)-1),B29)),T28)</f>
        <v>Desoje</v>
      </c>
      <c r="U29" s="10" t="str">
        <f aca="false">IF(D29&lt;&gt;"",TRIM(IFERROR(LEFT(D29,FIND("(",D29)-1),D29)),U28)</f>
        <v>Packing</v>
      </c>
      <c r="V29" s="10" t="str">
        <f aca="false">IF(F29&lt;&gt;"",TRIM(IFERROR(LEFT(F29,FIND("(",F29)-1),F29)),V28)</f>
        <v/>
      </c>
      <c r="W29" s="10" t="str">
        <f aca="false">IF(H29&lt;&gt;"",TRIM(IFERROR(LEFT(H29,FIND("(",H29)-1),H29)),W28)</f>
        <v>Cuartos</v>
      </c>
      <c r="X29" s="10" t="str">
        <f aca="false">IF(J29&lt;&gt;"",TRIM(IFERROR(LEFT(J29,FIND("(",J29)-1),J29)),X28)</f>
        <v>Chofer</v>
      </c>
      <c r="Y29" s="10" t="str">
        <f aca="false">IF(L29&lt;&gt;"",TRIM(IFERROR(LEFT(L29,FIND("(",L29)-1),L29)),Y28)</f>
        <v>Regar</v>
      </c>
      <c r="Z29" s="10" t="str">
        <f aca="false">IF(N29&lt;&gt;"",TRIM(IFERROR(LEFT(N29,FIND("(",N29)-1),N29)),Z28)</f>
        <v>Fresh frozen</v>
      </c>
      <c r="AA29" s="10" t="str">
        <f aca="false">IF(P29&lt;&gt;"",TRIM(IFERROR(LEFT(P29,FIND("(",P29)-1),P29)),AA28)</f>
        <v/>
      </c>
      <c r="AD29" s="10" t="str">
        <f aca="false">IF(C29="","",IF(T29="","(sin responsabilidad)",T29))</f>
        <v>Desoje</v>
      </c>
      <c r="AE29" s="10" t="str">
        <f aca="false">IF(E29="","",IF(U29="","(sin responsabilidad)",U29))</f>
        <v/>
      </c>
      <c r="AF29" s="10" t="str">
        <f aca="false">IF(G29="","",IF(V29="","(sin responsabilidad)",V29))</f>
        <v/>
      </c>
      <c r="AG29" s="10" t="str">
        <f aca="false">IF(I29="","",IF(W29="","(sin responsabilidad)",W29))</f>
        <v/>
      </c>
      <c r="AH29" s="10" t="str">
        <f aca="false">IF(K29="","",IF(X29="","(sin responsabilidad)",X29))</f>
        <v/>
      </c>
      <c r="AI29" s="10" t="str">
        <f aca="false">IF(M29="","",IF(Y29="","(sin responsabilidad)",Y29))</f>
        <v/>
      </c>
      <c r="AJ29" s="10" t="str">
        <f aca="false">IF(O29="","",IF(Z29="","(sin responsabilidad)",Z29))</f>
        <v/>
      </c>
      <c r="AK29" s="10" t="str">
        <f aca="false">IF(Q29="","",IF(AA29="","(sin responsabilidad)",AA29))</f>
        <v/>
      </c>
      <c r="AN29" s="10" t="str">
        <f aca="false">IF(C29="","",TRIM(IFERROR(LEFT(C29,FIND("(",C29)-1),C29)))</f>
        <v>Maria Elena Mendoza</v>
      </c>
      <c r="AO29" s="10" t="str">
        <f aca="false">IF(E29="","",TRIM(IFERROR(LEFT(E29,FIND("(",E29)-1),E29)))</f>
        <v/>
      </c>
      <c r="AP29" s="10" t="str">
        <f aca="false">IF(G29="","",TRIM(IFERROR(LEFT(G29,FIND("(",G29)-1),G29)))</f>
        <v/>
      </c>
      <c r="AQ29" s="10" t="str">
        <f aca="false">IF(I29="","",TRIM(IFERROR(LEFT(I29,FIND("(",I29)-1),I29)))</f>
        <v/>
      </c>
      <c r="AR29" s="10" t="str">
        <f aca="false">IF(K29="","",TRIM(IFERROR(LEFT(K29,FIND("(",K29)-1),K29)))</f>
        <v/>
      </c>
      <c r="AS29" s="10" t="str">
        <f aca="false">IF(M29="","",TRIM(IFERROR(LEFT(M29,FIND("(",M29)-1),M29)))</f>
        <v/>
      </c>
      <c r="AT29" s="10" t="str">
        <f aca="false">IF(O29="","",TRIM(IFERROR(LEFT(O29,FIND("(",O29)-1),O29)))</f>
        <v/>
      </c>
      <c r="AU29" s="10" t="str">
        <f aca="false">IF(Q29="","",TRIM(IFERROR(LEFT(Q29,FIND("(",Q29)-1),Q29)))</f>
        <v/>
      </c>
    </row>
    <row r="30" customFormat="false" ht="15" hidden="false" customHeight="false" outlineLevel="0" collapsed="false">
      <c r="A30" s="14" t="n">
        <v>16</v>
      </c>
      <c r="B30" s="15"/>
      <c r="C30" s="15" t="s">
        <v>100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T30" s="10" t="str">
        <f aca="false">IF(B30&lt;&gt;"",TRIM(IFERROR(LEFT(B30,FIND("(",B30)-1),B30)),T29)</f>
        <v>Desoje</v>
      </c>
      <c r="U30" s="10" t="str">
        <f aca="false">IF(D30&lt;&gt;"",TRIM(IFERROR(LEFT(D30,FIND("(",D30)-1),D30)),U29)</f>
        <v>Packing</v>
      </c>
      <c r="V30" s="10" t="str">
        <f aca="false">IF(F30&lt;&gt;"",TRIM(IFERROR(LEFT(F30,FIND("(",F30)-1),F30)),V29)</f>
        <v/>
      </c>
      <c r="W30" s="10" t="str">
        <f aca="false">IF(H30&lt;&gt;"",TRIM(IFERROR(LEFT(H30,FIND("(",H30)-1),H30)),W29)</f>
        <v>Cuartos</v>
      </c>
      <c r="X30" s="10" t="str">
        <f aca="false">IF(J30&lt;&gt;"",TRIM(IFERROR(LEFT(J30,FIND("(",J30)-1),J30)),X29)</f>
        <v>Chofer</v>
      </c>
      <c r="Y30" s="10" t="str">
        <f aca="false">IF(L30&lt;&gt;"",TRIM(IFERROR(LEFT(L30,FIND("(",L30)-1),L30)),Y29)</f>
        <v>Regar</v>
      </c>
      <c r="Z30" s="10" t="str">
        <f aca="false">IF(N30&lt;&gt;"",TRIM(IFERROR(LEFT(N30,FIND("(",N30)-1),N30)),Z29)</f>
        <v>Fresh frozen</v>
      </c>
      <c r="AA30" s="10" t="str">
        <f aca="false">IF(P30&lt;&gt;"",TRIM(IFERROR(LEFT(P30,FIND("(",P30)-1),P30)),AA29)</f>
        <v/>
      </c>
      <c r="AD30" s="10" t="str">
        <f aca="false">IF(C30="","",IF(T30="","(sin responsabilidad)",T30))</f>
        <v>Desoje</v>
      </c>
      <c r="AE30" s="10" t="str">
        <f aca="false">IF(E30="","",IF(U30="","(sin responsabilidad)",U30))</f>
        <v/>
      </c>
      <c r="AF30" s="10" t="str">
        <f aca="false">IF(G30="","",IF(V30="","(sin responsabilidad)",V30))</f>
        <v/>
      </c>
      <c r="AG30" s="10" t="str">
        <f aca="false">IF(I30="","",IF(W30="","(sin responsabilidad)",W30))</f>
        <v/>
      </c>
      <c r="AH30" s="10" t="str">
        <f aca="false">IF(K30="","",IF(X30="","(sin responsabilidad)",X30))</f>
        <v/>
      </c>
      <c r="AI30" s="10" t="str">
        <f aca="false">IF(M30="","",IF(Y30="","(sin responsabilidad)",Y30))</f>
        <v/>
      </c>
      <c r="AJ30" s="10" t="str">
        <f aca="false">IF(O30="","",IF(Z30="","(sin responsabilidad)",Z30))</f>
        <v/>
      </c>
      <c r="AK30" s="10" t="str">
        <f aca="false">IF(Q30="","",IF(AA30="","(sin responsabilidad)",AA30))</f>
        <v/>
      </c>
      <c r="AN30" s="10" t="str">
        <f aca="false">IF(C30="","",TRIM(IFERROR(LEFT(C30,FIND("(",C30)-1),C30)))</f>
        <v>Rosa Navarro</v>
      </c>
      <c r="AO30" s="10" t="str">
        <f aca="false">IF(E30="","",TRIM(IFERROR(LEFT(E30,FIND("(",E30)-1),E30)))</f>
        <v/>
      </c>
      <c r="AP30" s="10" t="str">
        <f aca="false">IF(G30="","",TRIM(IFERROR(LEFT(G30,FIND("(",G30)-1),G30)))</f>
        <v/>
      </c>
      <c r="AQ30" s="10" t="str">
        <f aca="false">IF(I30="","",TRIM(IFERROR(LEFT(I30,FIND("(",I30)-1),I30)))</f>
        <v/>
      </c>
      <c r="AR30" s="10" t="str">
        <f aca="false">IF(K30="","",TRIM(IFERROR(LEFT(K30,FIND("(",K30)-1),K30)))</f>
        <v/>
      </c>
      <c r="AS30" s="10" t="str">
        <f aca="false">IF(M30="","",TRIM(IFERROR(LEFT(M30,FIND("(",M30)-1),M30)))</f>
        <v/>
      </c>
      <c r="AT30" s="10" t="str">
        <f aca="false">IF(O30="","",TRIM(IFERROR(LEFT(O30,FIND("(",O30)-1),O30)))</f>
        <v/>
      </c>
      <c r="AU30" s="10" t="str">
        <f aca="false">IF(Q30="","",TRIM(IFERROR(LEFT(Q30,FIND("(",Q30)-1),Q30)))</f>
        <v/>
      </c>
    </row>
    <row r="31" customFormat="false" ht="15" hidden="false" customHeight="false" outlineLevel="0" collapsed="false">
      <c r="A31" s="14" t="n">
        <v>17</v>
      </c>
      <c r="B31" s="15"/>
      <c r="C31" s="15" t="s">
        <v>101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T31" s="10" t="str">
        <f aca="false">IF(B31&lt;&gt;"",TRIM(IFERROR(LEFT(B31,FIND("(",B31)-1),B31)),T30)</f>
        <v>Desoje</v>
      </c>
      <c r="U31" s="10" t="str">
        <f aca="false">IF(D31&lt;&gt;"",TRIM(IFERROR(LEFT(D31,FIND("(",D31)-1),D31)),U30)</f>
        <v>Packing</v>
      </c>
      <c r="V31" s="10" t="str">
        <f aca="false">IF(F31&lt;&gt;"",TRIM(IFERROR(LEFT(F31,FIND("(",F31)-1),F31)),V30)</f>
        <v/>
      </c>
      <c r="W31" s="10" t="str">
        <f aca="false">IF(H31&lt;&gt;"",TRIM(IFERROR(LEFT(H31,FIND("(",H31)-1),H31)),W30)</f>
        <v>Cuartos</v>
      </c>
      <c r="X31" s="10" t="str">
        <f aca="false">IF(J31&lt;&gt;"",TRIM(IFERROR(LEFT(J31,FIND("(",J31)-1),J31)),X30)</f>
        <v>Chofer</v>
      </c>
      <c r="Y31" s="10" t="str">
        <f aca="false">IF(L31&lt;&gt;"",TRIM(IFERROR(LEFT(L31,FIND("(",L31)-1),L31)),Y30)</f>
        <v>Regar</v>
      </c>
      <c r="Z31" s="10" t="str">
        <f aca="false">IF(N31&lt;&gt;"",TRIM(IFERROR(LEFT(N31,FIND("(",N31)-1),N31)),Z30)</f>
        <v>Fresh frozen</v>
      </c>
      <c r="AA31" s="10" t="str">
        <f aca="false">IF(P31&lt;&gt;"",TRIM(IFERROR(LEFT(P31,FIND("(",P31)-1),P31)),AA30)</f>
        <v/>
      </c>
      <c r="AD31" s="10" t="str">
        <f aca="false">IF(C31="","",IF(T31="","(sin responsabilidad)",T31))</f>
        <v>Desoje</v>
      </c>
      <c r="AE31" s="10" t="str">
        <f aca="false">IF(E31="","",IF(U31="","(sin responsabilidad)",U31))</f>
        <v/>
      </c>
      <c r="AF31" s="10" t="str">
        <f aca="false">IF(G31="","",IF(V31="","(sin responsabilidad)",V31))</f>
        <v/>
      </c>
      <c r="AG31" s="10" t="str">
        <f aca="false">IF(I31="","",IF(W31="","(sin responsabilidad)",W31))</f>
        <v/>
      </c>
      <c r="AH31" s="10" t="str">
        <f aca="false">IF(K31="","",IF(X31="","(sin responsabilidad)",X31))</f>
        <v/>
      </c>
      <c r="AI31" s="10" t="str">
        <f aca="false">IF(M31="","",IF(Y31="","(sin responsabilidad)",Y31))</f>
        <v/>
      </c>
      <c r="AJ31" s="10" t="str">
        <f aca="false">IF(O31="","",IF(Z31="","(sin responsabilidad)",Z31))</f>
        <v/>
      </c>
      <c r="AK31" s="10" t="str">
        <f aca="false">IF(Q31="","",IF(AA31="","(sin responsabilidad)",AA31))</f>
        <v/>
      </c>
      <c r="AN31" s="10" t="str">
        <f aca="false">IF(C31="","",TRIM(IFERROR(LEFT(C31,FIND("(",C31)-1),C31)))</f>
        <v>Brenda Olivas</v>
      </c>
      <c r="AO31" s="10" t="str">
        <f aca="false">IF(E31="","",TRIM(IFERROR(LEFT(E31,FIND("(",E31)-1),E31)))</f>
        <v/>
      </c>
      <c r="AP31" s="10" t="str">
        <f aca="false">IF(G31="","",TRIM(IFERROR(LEFT(G31,FIND("(",G31)-1),G31)))</f>
        <v/>
      </c>
      <c r="AQ31" s="10" t="str">
        <f aca="false">IF(I31="","",TRIM(IFERROR(LEFT(I31,FIND("(",I31)-1),I31)))</f>
        <v/>
      </c>
      <c r="AR31" s="10" t="str">
        <f aca="false">IF(K31="","",TRIM(IFERROR(LEFT(K31,FIND("(",K31)-1),K31)))</f>
        <v/>
      </c>
      <c r="AS31" s="10" t="str">
        <f aca="false">IF(M31="","",TRIM(IFERROR(LEFT(M31,FIND("(",M31)-1),M31)))</f>
        <v/>
      </c>
      <c r="AT31" s="10" t="str">
        <f aca="false">IF(O31="","",TRIM(IFERROR(LEFT(O31,FIND("(",O31)-1),O31)))</f>
        <v/>
      </c>
      <c r="AU31" s="10" t="str">
        <f aca="false">IF(Q31="","",TRIM(IFERROR(LEFT(Q31,FIND("(",Q31)-1),Q31)))</f>
        <v/>
      </c>
    </row>
    <row r="32" customFormat="false" ht="15" hidden="false" customHeight="false" outlineLevel="0" collapsed="false">
      <c r="A32" s="14" t="n">
        <v>18</v>
      </c>
      <c r="B32" s="15"/>
      <c r="C32" s="15" t="s">
        <v>102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T32" s="10" t="str">
        <f aca="false">IF(B32&lt;&gt;"",TRIM(IFERROR(LEFT(B32,FIND("(",B32)-1),B32)),T31)</f>
        <v>Desoje</v>
      </c>
      <c r="U32" s="10" t="str">
        <f aca="false">IF(D32&lt;&gt;"",TRIM(IFERROR(LEFT(D32,FIND("(",D32)-1),D32)),U31)</f>
        <v>Packing</v>
      </c>
      <c r="V32" s="10" t="str">
        <f aca="false">IF(F32&lt;&gt;"",TRIM(IFERROR(LEFT(F32,FIND("(",F32)-1),F32)),V31)</f>
        <v/>
      </c>
      <c r="W32" s="10" t="str">
        <f aca="false">IF(H32&lt;&gt;"",TRIM(IFERROR(LEFT(H32,FIND("(",H32)-1),H32)),W31)</f>
        <v>Cuartos</v>
      </c>
      <c r="X32" s="10" t="str">
        <f aca="false">IF(J32&lt;&gt;"",TRIM(IFERROR(LEFT(J32,FIND("(",J32)-1),J32)),X31)</f>
        <v>Chofer</v>
      </c>
      <c r="Y32" s="10" t="str">
        <f aca="false">IF(L32&lt;&gt;"",TRIM(IFERROR(LEFT(L32,FIND("(",L32)-1),L32)),Y31)</f>
        <v>Regar</v>
      </c>
      <c r="Z32" s="10" t="str">
        <f aca="false">IF(N32&lt;&gt;"",TRIM(IFERROR(LEFT(N32,FIND("(",N32)-1),N32)),Z31)</f>
        <v>Fresh frozen</v>
      </c>
      <c r="AA32" s="10" t="str">
        <f aca="false">IF(P32&lt;&gt;"",TRIM(IFERROR(LEFT(P32,FIND("(",P32)-1),P32)),AA31)</f>
        <v/>
      </c>
      <c r="AD32" s="10" t="str">
        <f aca="false">IF(C32="","",IF(T32="","(sin responsabilidad)",T32))</f>
        <v>Desoje</v>
      </c>
      <c r="AE32" s="10" t="str">
        <f aca="false">IF(E32="","",IF(U32="","(sin responsabilidad)",U32))</f>
        <v/>
      </c>
      <c r="AF32" s="10" t="str">
        <f aca="false">IF(G32="","",IF(V32="","(sin responsabilidad)",V32))</f>
        <v/>
      </c>
      <c r="AG32" s="10" t="str">
        <f aca="false">IF(I32="","",IF(W32="","(sin responsabilidad)",W32))</f>
        <v/>
      </c>
      <c r="AH32" s="10" t="str">
        <f aca="false">IF(K32="","",IF(X32="","(sin responsabilidad)",X32))</f>
        <v/>
      </c>
      <c r="AI32" s="10" t="str">
        <f aca="false">IF(M32="","",IF(Y32="","(sin responsabilidad)",Y32))</f>
        <v/>
      </c>
      <c r="AJ32" s="10" t="str">
        <f aca="false">IF(O32="","",IF(Z32="","(sin responsabilidad)",Z32))</f>
        <v/>
      </c>
      <c r="AK32" s="10" t="str">
        <f aca="false">IF(Q32="","",IF(AA32="","(sin responsabilidad)",AA32))</f>
        <v/>
      </c>
      <c r="AN32" s="10" t="str">
        <f aca="false">IF(C32="","",TRIM(IFERROR(LEFT(C32,FIND("(",C32)-1),C32)))</f>
        <v>Elisa Cervantes</v>
      </c>
      <c r="AO32" s="10" t="str">
        <f aca="false">IF(E32="","",TRIM(IFERROR(LEFT(E32,FIND("(",E32)-1),E32)))</f>
        <v/>
      </c>
      <c r="AP32" s="10" t="str">
        <f aca="false">IF(G32="","",TRIM(IFERROR(LEFT(G32,FIND("(",G32)-1),G32)))</f>
        <v/>
      </c>
      <c r="AQ32" s="10" t="str">
        <f aca="false">IF(I32="","",TRIM(IFERROR(LEFT(I32,FIND("(",I32)-1),I32)))</f>
        <v/>
      </c>
      <c r="AR32" s="10" t="str">
        <f aca="false">IF(K32="","",TRIM(IFERROR(LEFT(K32,FIND("(",K32)-1),K32)))</f>
        <v/>
      </c>
      <c r="AS32" s="10" t="str">
        <f aca="false">IF(M32="","",TRIM(IFERROR(LEFT(M32,FIND("(",M32)-1),M32)))</f>
        <v/>
      </c>
      <c r="AT32" s="10" t="str">
        <f aca="false">IF(O32="","",TRIM(IFERROR(LEFT(O32,FIND("(",O32)-1),O32)))</f>
        <v/>
      </c>
      <c r="AU32" s="10" t="str">
        <f aca="false">IF(Q32="","",TRIM(IFERROR(LEFT(Q32,FIND("(",Q32)-1),Q32)))</f>
        <v/>
      </c>
    </row>
    <row r="33" customFormat="false" ht="15" hidden="false" customHeight="false" outlineLevel="0" collapsed="false">
      <c r="A33" s="14" t="n">
        <v>19</v>
      </c>
      <c r="B33" s="15" t="s">
        <v>103</v>
      </c>
      <c r="C33" s="15" t="s">
        <v>104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T33" s="10" t="str">
        <f aca="false">IF(B33&lt;&gt;"",TRIM(IFERROR(LEFT(B33,FIND("(",B33)-1),B33)),T32)</f>
        <v>Pesar</v>
      </c>
      <c r="U33" s="10" t="str">
        <f aca="false">IF(D33&lt;&gt;"",TRIM(IFERROR(LEFT(D33,FIND("(",D33)-1),D33)),U32)</f>
        <v>Packing</v>
      </c>
      <c r="V33" s="10" t="str">
        <f aca="false">IF(F33&lt;&gt;"",TRIM(IFERROR(LEFT(F33,FIND("(",F33)-1),F33)),V32)</f>
        <v/>
      </c>
      <c r="W33" s="10" t="str">
        <f aca="false">IF(H33&lt;&gt;"",TRIM(IFERROR(LEFT(H33,FIND("(",H33)-1),H33)),W32)</f>
        <v>Cuartos</v>
      </c>
      <c r="X33" s="10" t="str">
        <f aca="false">IF(J33&lt;&gt;"",TRIM(IFERROR(LEFT(J33,FIND("(",J33)-1),J33)),X32)</f>
        <v>Chofer</v>
      </c>
      <c r="Y33" s="10" t="str">
        <f aca="false">IF(L33&lt;&gt;"",TRIM(IFERROR(LEFT(L33,FIND("(",L33)-1),L33)),Y32)</f>
        <v>Regar</v>
      </c>
      <c r="Z33" s="10" t="str">
        <f aca="false">IF(N33&lt;&gt;"",TRIM(IFERROR(LEFT(N33,FIND("(",N33)-1),N33)),Z32)</f>
        <v>Fresh frozen</v>
      </c>
      <c r="AA33" s="10" t="str">
        <f aca="false">IF(P33&lt;&gt;"",TRIM(IFERROR(LEFT(P33,FIND("(",P33)-1),P33)),AA32)</f>
        <v/>
      </c>
      <c r="AD33" s="10" t="str">
        <f aca="false">IF(C33="","",IF(T33="","(sin responsabilidad)",T33))</f>
        <v>Pesar</v>
      </c>
      <c r="AE33" s="10" t="str">
        <f aca="false">IF(E33="","",IF(U33="","(sin responsabilidad)",U33))</f>
        <v/>
      </c>
      <c r="AF33" s="10" t="str">
        <f aca="false">IF(G33="","",IF(V33="","(sin responsabilidad)",V33))</f>
        <v/>
      </c>
      <c r="AG33" s="10" t="str">
        <f aca="false">IF(I33="","",IF(W33="","(sin responsabilidad)",W33))</f>
        <v/>
      </c>
      <c r="AH33" s="10" t="str">
        <f aca="false">IF(K33="","",IF(X33="","(sin responsabilidad)",X33))</f>
        <v/>
      </c>
      <c r="AI33" s="10" t="str">
        <f aca="false">IF(M33="","",IF(Y33="","(sin responsabilidad)",Y33))</f>
        <v/>
      </c>
      <c r="AJ33" s="10" t="str">
        <f aca="false">IF(O33="","",IF(Z33="","(sin responsabilidad)",Z33))</f>
        <v/>
      </c>
      <c r="AK33" s="10" t="str">
        <f aca="false">IF(Q33="","",IF(AA33="","(sin responsabilidad)",AA33))</f>
        <v/>
      </c>
      <c r="AN33" s="10" t="str">
        <f aca="false">IF(C33="","",TRIM(IFERROR(LEFT(C33,FIND("(",C33)-1),C33)))</f>
        <v>Ernestina Garcia</v>
      </c>
      <c r="AO33" s="10" t="str">
        <f aca="false">IF(E33="","",TRIM(IFERROR(LEFT(E33,FIND("(",E33)-1),E33)))</f>
        <v/>
      </c>
      <c r="AP33" s="10" t="str">
        <f aca="false">IF(G33="","",TRIM(IFERROR(LEFT(G33,FIND("(",G33)-1),G33)))</f>
        <v/>
      </c>
      <c r="AQ33" s="10" t="str">
        <f aca="false">IF(I33="","",TRIM(IFERROR(LEFT(I33,FIND("(",I33)-1),I33)))</f>
        <v/>
      </c>
      <c r="AR33" s="10" t="str">
        <f aca="false">IF(K33="","",TRIM(IFERROR(LEFT(K33,FIND("(",K33)-1),K33)))</f>
        <v/>
      </c>
      <c r="AS33" s="10" t="str">
        <f aca="false">IF(M33="","",TRIM(IFERROR(LEFT(M33,FIND("(",M33)-1),M33)))</f>
        <v/>
      </c>
      <c r="AT33" s="10" t="str">
        <f aca="false">IF(O33="","",TRIM(IFERROR(LEFT(O33,FIND("(",O33)-1),O33)))</f>
        <v/>
      </c>
      <c r="AU33" s="10" t="str">
        <f aca="false">IF(Q33="","",TRIM(IFERROR(LEFT(Q33,FIND("(",Q33)-1),Q33)))</f>
        <v/>
      </c>
    </row>
    <row r="34" customFormat="false" ht="15" hidden="false" customHeight="false" outlineLevel="0" collapsed="false">
      <c r="A34" s="14" t="n">
        <v>20</v>
      </c>
      <c r="B34" s="15" t="s">
        <v>105</v>
      </c>
      <c r="C34" s="15" t="s">
        <v>106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T34" s="10" t="str">
        <f aca="false">IF(B34&lt;&gt;"",TRIM(IFERROR(LEFT(B34,FIND("(",B34)-1),B34)),T33)</f>
        <v>Comodín proceso</v>
      </c>
      <c r="U34" s="10" t="str">
        <f aca="false">IF(D34&lt;&gt;"",TRIM(IFERROR(LEFT(D34,FIND("(",D34)-1),D34)),U33)</f>
        <v>Packing</v>
      </c>
      <c r="V34" s="10" t="str">
        <f aca="false">IF(F34&lt;&gt;"",TRIM(IFERROR(LEFT(F34,FIND("(",F34)-1),F34)),V33)</f>
        <v/>
      </c>
      <c r="W34" s="10" t="str">
        <f aca="false">IF(H34&lt;&gt;"",TRIM(IFERROR(LEFT(H34,FIND("(",H34)-1),H34)),W33)</f>
        <v>Cuartos</v>
      </c>
      <c r="X34" s="10" t="str">
        <f aca="false">IF(J34&lt;&gt;"",TRIM(IFERROR(LEFT(J34,FIND("(",J34)-1),J34)),X33)</f>
        <v>Chofer</v>
      </c>
      <c r="Y34" s="10" t="str">
        <f aca="false">IF(L34&lt;&gt;"",TRIM(IFERROR(LEFT(L34,FIND("(",L34)-1),L34)),Y33)</f>
        <v>Regar</v>
      </c>
      <c r="Z34" s="10" t="str">
        <f aca="false">IF(N34&lt;&gt;"",TRIM(IFERROR(LEFT(N34,FIND("(",N34)-1),N34)),Z33)</f>
        <v>Fresh frozen</v>
      </c>
      <c r="AA34" s="10" t="str">
        <f aca="false">IF(P34&lt;&gt;"",TRIM(IFERROR(LEFT(P34,FIND("(",P34)-1),P34)),AA33)</f>
        <v/>
      </c>
      <c r="AD34" s="10" t="str">
        <f aca="false">IF(C34="","",IF(T34="","(sin responsabilidad)",T34))</f>
        <v>Comodín proceso</v>
      </c>
      <c r="AE34" s="10" t="str">
        <f aca="false">IF(E34="","",IF(U34="","(sin responsabilidad)",U34))</f>
        <v/>
      </c>
      <c r="AF34" s="10" t="str">
        <f aca="false">IF(G34="","",IF(V34="","(sin responsabilidad)",V34))</f>
        <v/>
      </c>
      <c r="AG34" s="10" t="str">
        <f aca="false">IF(I34="","",IF(W34="","(sin responsabilidad)",W34))</f>
        <v/>
      </c>
      <c r="AH34" s="10" t="str">
        <f aca="false">IF(K34="","",IF(X34="","(sin responsabilidad)",X34))</f>
        <v/>
      </c>
      <c r="AI34" s="10" t="str">
        <f aca="false">IF(M34="","",IF(Y34="","(sin responsabilidad)",Y34))</f>
        <v/>
      </c>
      <c r="AJ34" s="10" t="str">
        <f aca="false">IF(O34="","",IF(Z34="","(sin responsabilidad)",Z34))</f>
        <v/>
      </c>
      <c r="AK34" s="10" t="str">
        <f aca="false">IF(Q34="","",IF(AA34="","(sin responsabilidad)",AA34))</f>
        <v/>
      </c>
      <c r="AN34" s="10" t="str">
        <f aca="false">IF(C34="","",TRIM(IFERROR(LEFT(C34,FIND("(",C34)-1),C34)))</f>
        <v>David Cruz</v>
      </c>
      <c r="AO34" s="10" t="str">
        <f aca="false">IF(E34="","",TRIM(IFERROR(LEFT(E34,FIND("(",E34)-1),E34)))</f>
        <v/>
      </c>
      <c r="AP34" s="10" t="str">
        <f aca="false">IF(G34="","",TRIM(IFERROR(LEFT(G34,FIND("(",G34)-1),G34)))</f>
        <v/>
      </c>
      <c r="AQ34" s="10" t="str">
        <f aca="false">IF(I34="","",TRIM(IFERROR(LEFT(I34,FIND("(",I34)-1),I34)))</f>
        <v/>
      </c>
      <c r="AR34" s="10" t="str">
        <f aca="false">IF(K34="","",TRIM(IFERROR(LEFT(K34,FIND("(",K34)-1),K34)))</f>
        <v/>
      </c>
      <c r="AS34" s="10" t="str">
        <f aca="false">IF(M34="","",TRIM(IFERROR(LEFT(M34,FIND("(",M34)-1),M34)))</f>
        <v/>
      </c>
      <c r="AT34" s="10" t="str">
        <f aca="false">IF(O34="","",TRIM(IFERROR(LEFT(O34,FIND("(",O34)-1),O34)))</f>
        <v/>
      </c>
      <c r="AU34" s="10" t="str">
        <f aca="false">IF(Q34="","",TRIM(IFERROR(LEFT(Q34,FIND("(",Q34)-1),Q34)))</f>
        <v/>
      </c>
    </row>
    <row r="35" customFormat="false" ht="15" hidden="false" customHeight="false" outlineLevel="0" collapsed="false">
      <c r="A35" s="14" t="n">
        <v>21</v>
      </c>
      <c r="B35" s="15" t="s">
        <v>107</v>
      </c>
      <c r="C35" s="15" t="s">
        <v>108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T35" s="10" t="str">
        <f aca="false">IF(B35&lt;&gt;"",TRIM(IFERROR(LEFT(B35,FIND("(",B35)-1),B35)),T34)</f>
        <v>Mobius</v>
      </c>
      <c r="U35" s="10" t="str">
        <f aca="false">IF(D35&lt;&gt;"",TRIM(IFERROR(LEFT(D35,FIND("(",D35)-1),D35)),U34)</f>
        <v>Packing</v>
      </c>
      <c r="V35" s="10" t="str">
        <f aca="false">IF(F35&lt;&gt;"",TRIM(IFERROR(LEFT(F35,FIND("(",F35)-1),F35)),V34)</f>
        <v/>
      </c>
      <c r="W35" s="10" t="str">
        <f aca="false">IF(H35&lt;&gt;"",TRIM(IFERROR(LEFT(H35,FIND("(",H35)-1),H35)),W34)</f>
        <v>Cuartos</v>
      </c>
      <c r="X35" s="10" t="str">
        <f aca="false">IF(J35&lt;&gt;"",TRIM(IFERROR(LEFT(J35,FIND("(",J35)-1),J35)),X34)</f>
        <v>Chofer</v>
      </c>
      <c r="Y35" s="10" t="str">
        <f aca="false">IF(L35&lt;&gt;"",TRIM(IFERROR(LEFT(L35,FIND("(",L35)-1),L35)),Y34)</f>
        <v>Regar</v>
      </c>
      <c r="Z35" s="10" t="str">
        <f aca="false">IF(N35&lt;&gt;"",TRIM(IFERROR(LEFT(N35,FIND("(",N35)-1),N35)),Z34)</f>
        <v>Fresh frozen</v>
      </c>
      <c r="AA35" s="10" t="str">
        <f aca="false">IF(P35&lt;&gt;"",TRIM(IFERROR(LEFT(P35,FIND("(",P35)-1),P35)),AA34)</f>
        <v/>
      </c>
      <c r="AD35" s="10" t="str">
        <f aca="false">IF(C35="","",IF(T35="","(sin responsabilidad)",T35))</f>
        <v>Mobius</v>
      </c>
      <c r="AE35" s="10" t="str">
        <f aca="false">IF(E35="","",IF(U35="","(sin responsabilidad)",U35))</f>
        <v/>
      </c>
      <c r="AF35" s="10" t="str">
        <f aca="false">IF(G35="","",IF(V35="","(sin responsabilidad)",V35))</f>
        <v/>
      </c>
      <c r="AG35" s="10" t="str">
        <f aca="false">IF(I35="","",IF(W35="","(sin responsabilidad)",W35))</f>
        <v/>
      </c>
      <c r="AH35" s="10" t="str">
        <f aca="false">IF(K35="","",IF(X35="","(sin responsabilidad)",X35))</f>
        <v/>
      </c>
      <c r="AI35" s="10" t="str">
        <f aca="false">IF(M35="","",IF(Y35="","(sin responsabilidad)",Y35))</f>
        <v/>
      </c>
      <c r="AJ35" s="10" t="str">
        <f aca="false">IF(O35="","",IF(Z35="","(sin responsabilidad)",Z35))</f>
        <v/>
      </c>
      <c r="AK35" s="10" t="str">
        <f aca="false">IF(Q35="","",IF(AA35="","(sin responsabilidad)",AA35))</f>
        <v/>
      </c>
      <c r="AN35" s="10" t="str">
        <f aca="false">IF(C35="","",TRIM(IFERROR(LEFT(C35,FIND("(",C35)-1),C35)))</f>
        <v>Alicia Morales</v>
      </c>
      <c r="AO35" s="10" t="str">
        <f aca="false">IF(E35="","",TRIM(IFERROR(LEFT(E35,FIND("(",E35)-1),E35)))</f>
        <v/>
      </c>
      <c r="AP35" s="10" t="str">
        <f aca="false">IF(G35="","",TRIM(IFERROR(LEFT(G35,FIND("(",G35)-1),G35)))</f>
        <v/>
      </c>
      <c r="AQ35" s="10" t="str">
        <f aca="false">IF(I35="","",TRIM(IFERROR(LEFT(I35,FIND("(",I35)-1),I35)))</f>
        <v/>
      </c>
      <c r="AR35" s="10" t="str">
        <f aca="false">IF(K35="","",TRIM(IFERROR(LEFT(K35,FIND("(",K35)-1),K35)))</f>
        <v/>
      </c>
      <c r="AS35" s="10" t="str">
        <f aca="false">IF(M35="","",TRIM(IFERROR(LEFT(M35,FIND("(",M35)-1),M35)))</f>
        <v/>
      </c>
      <c r="AT35" s="10" t="str">
        <f aca="false">IF(O35="","",TRIM(IFERROR(LEFT(O35,FIND("(",O35)-1),O35)))</f>
        <v/>
      </c>
      <c r="AU35" s="10" t="str">
        <f aca="false">IF(Q35="","",TRIM(IFERROR(LEFT(Q35,FIND("(",Q35)-1),Q35)))</f>
        <v/>
      </c>
    </row>
    <row r="36" customFormat="false" ht="15" hidden="false" customHeight="false" outlineLevel="0" collapsed="false">
      <c r="A36" s="14" t="n">
        <v>22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T36" s="10" t="str">
        <f aca="false">IF(B36&lt;&gt;"",TRIM(IFERROR(LEFT(B36,FIND("(",B36)-1),B36)),T35)</f>
        <v>Mobius</v>
      </c>
      <c r="U36" s="10" t="str">
        <f aca="false">IF(D36&lt;&gt;"",TRIM(IFERROR(LEFT(D36,FIND("(",D36)-1),D36)),U35)</f>
        <v>Packing</v>
      </c>
      <c r="V36" s="10" t="str">
        <f aca="false">IF(F36&lt;&gt;"",TRIM(IFERROR(LEFT(F36,FIND("(",F36)-1),F36)),V35)</f>
        <v/>
      </c>
      <c r="W36" s="10" t="str">
        <f aca="false">IF(H36&lt;&gt;"",TRIM(IFERROR(LEFT(H36,FIND("(",H36)-1),H36)),W35)</f>
        <v>Cuartos</v>
      </c>
      <c r="X36" s="10" t="str">
        <f aca="false">IF(J36&lt;&gt;"",TRIM(IFERROR(LEFT(J36,FIND("(",J36)-1),J36)),X35)</f>
        <v>Chofer</v>
      </c>
      <c r="Y36" s="10" t="str">
        <f aca="false">IF(L36&lt;&gt;"",TRIM(IFERROR(LEFT(L36,FIND("(",L36)-1),L36)),Y35)</f>
        <v>Regar</v>
      </c>
      <c r="Z36" s="10" t="str">
        <f aca="false">IF(N36&lt;&gt;"",TRIM(IFERROR(LEFT(N36,FIND("(",N36)-1),N36)),Z35)</f>
        <v>Fresh frozen</v>
      </c>
      <c r="AA36" s="10" t="str">
        <f aca="false">IF(P36&lt;&gt;"",TRIM(IFERROR(LEFT(P36,FIND("(",P36)-1),P36)),AA35)</f>
        <v/>
      </c>
      <c r="AD36" s="10" t="str">
        <f aca="false">IF(C36="","",IF(T36="","(sin responsabilidad)",T36))</f>
        <v/>
      </c>
      <c r="AE36" s="10" t="str">
        <f aca="false">IF(E36="","",IF(U36="","(sin responsabilidad)",U36))</f>
        <v/>
      </c>
      <c r="AF36" s="10" t="str">
        <f aca="false">IF(G36="","",IF(V36="","(sin responsabilidad)",V36))</f>
        <v/>
      </c>
      <c r="AG36" s="10" t="str">
        <f aca="false">IF(I36="","",IF(W36="","(sin responsabilidad)",W36))</f>
        <v/>
      </c>
      <c r="AH36" s="10" t="str">
        <f aca="false">IF(K36="","",IF(X36="","(sin responsabilidad)",X36))</f>
        <v/>
      </c>
      <c r="AI36" s="10" t="str">
        <f aca="false">IF(M36="","",IF(Y36="","(sin responsabilidad)",Y36))</f>
        <v/>
      </c>
      <c r="AJ36" s="10" t="str">
        <f aca="false">IF(O36="","",IF(Z36="","(sin responsabilidad)",Z36))</f>
        <v/>
      </c>
      <c r="AK36" s="10" t="str">
        <f aca="false">IF(Q36="","",IF(AA36="","(sin responsabilidad)",AA36))</f>
        <v/>
      </c>
      <c r="AN36" s="10" t="str">
        <f aca="false">IF(C36="","",TRIM(IFERROR(LEFT(C36,FIND("(",C36)-1),C36)))</f>
        <v/>
      </c>
      <c r="AO36" s="10" t="str">
        <f aca="false">IF(E36="","",TRIM(IFERROR(LEFT(E36,FIND("(",E36)-1),E36)))</f>
        <v/>
      </c>
      <c r="AP36" s="10" t="str">
        <f aca="false">IF(G36="","",TRIM(IFERROR(LEFT(G36,FIND("(",G36)-1),G36)))</f>
        <v/>
      </c>
      <c r="AQ36" s="10" t="str">
        <f aca="false">IF(I36="","",TRIM(IFERROR(LEFT(I36,FIND("(",I36)-1),I36)))</f>
        <v/>
      </c>
      <c r="AR36" s="10" t="str">
        <f aca="false">IF(K36="","",TRIM(IFERROR(LEFT(K36,FIND("(",K36)-1),K36)))</f>
        <v/>
      </c>
      <c r="AS36" s="10" t="str">
        <f aca="false">IF(M36="","",TRIM(IFERROR(LEFT(M36,FIND("(",M36)-1),M36)))</f>
        <v/>
      </c>
      <c r="AT36" s="10" t="str">
        <f aca="false">IF(O36="","",TRIM(IFERROR(LEFT(O36,FIND("(",O36)-1),O36)))</f>
        <v/>
      </c>
      <c r="AU36" s="10" t="str">
        <f aca="false">IF(Q36="","",TRIM(IFERROR(LEFT(Q36,FIND("(",Q36)-1),Q36)))</f>
        <v/>
      </c>
    </row>
    <row r="37" customFormat="false" ht="15" hidden="false" customHeight="false" outlineLevel="0" collapsed="false">
      <c r="A37" s="14" t="n">
        <v>23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T37" s="10" t="str">
        <f aca="false">IF(B37&lt;&gt;"",TRIM(IFERROR(LEFT(B37,FIND("(",B37)-1),B37)),T36)</f>
        <v>Mobius</v>
      </c>
      <c r="U37" s="10" t="str">
        <f aca="false">IF(D37&lt;&gt;"",TRIM(IFERROR(LEFT(D37,FIND("(",D37)-1),D37)),U36)</f>
        <v>Packing</v>
      </c>
      <c r="V37" s="10" t="str">
        <f aca="false">IF(F37&lt;&gt;"",TRIM(IFERROR(LEFT(F37,FIND("(",F37)-1),F37)),V36)</f>
        <v/>
      </c>
      <c r="W37" s="10" t="str">
        <f aca="false">IF(H37&lt;&gt;"",TRIM(IFERROR(LEFT(H37,FIND("(",H37)-1),H37)),W36)</f>
        <v>Cuartos</v>
      </c>
      <c r="X37" s="10" t="str">
        <f aca="false">IF(J37&lt;&gt;"",TRIM(IFERROR(LEFT(J37,FIND("(",J37)-1),J37)),X36)</f>
        <v>Chofer</v>
      </c>
      <c r="Y37" s="10" t="str">
        <f aca="false">IF(L37&lt;&gt;"",TRIM(IFERROR(LEFT(L37,FIND("(",L37)-1),L37)),Y36)</f>
        <v>Regar</v>
      </c>
      <c r="Z37" s="10" t="str">
        <f aca="false">IF(N37&lt;&gt;"",TRIM(IFERROR(LEFT(N37,FIND("(",N37)-1),N37)),Z36)</f>
        <v>Fresh frozen</v>
      </c>
      <c r="AA37" s="10" t="str">
        <f aca="false">IF(P37&lt;&gt;"",TRIM(IFERROR(LEFT(P37,FIND("(",P37)-1),P37)),AA36)</f>
        <v/>
      </c>
      <c r="AD37" s="10" t="str">
        <f aca="false">IF(C37="","",IF(T37="","(sin responsabilidad)",T37))</f>
        <v/>
      </c>
      <c r="AE37" s="10" t="str">
        <f aca="false">IF(E37="","",IF(U37="","(sin responsabilidad)",U37))</f>
        <v/>
      </c>
      <c r="AF37" s="10" t="str">
        <f aca="false">IF(G37="","",IF(V37="","(sin responsabilidad)",V37))</f>
        <v/>
      </c>
      <c r="AG37" s="10" t="str">
        <f aca="false">IF(I37="","",IF(W37="","(sin responsabilidad)",W37))</f>
        <v/>
      </c>
      <c r="AH37" s="10" t="str">
        <f aca="false">IF(K37="","",IF(X37="","(sin responsabilidad)",X37))</f>
        <v/>
      </c>
      <c r="AI37" s="10" t="str">
        <f aca="false">IF(M37="","",IF(Y37="","(sin responsabilidad)",Y37))</f>
        <v/>
      </c>
      <c r="AJ37" s="10" t="str">
        <f aca="false">IF(O37="","",IF(Z37="","(sin responsabilidad)",Z37))</f>
        <v/>
      </c>
      <c r="AK37" s="10" t="str">
        <f aca="false">IF(Q37="","",IF(AA37="","(sin responsabilidad)",AA37))</f>
        <v/>
      </c>
      <c r="AN37" s="10" t="str">
        <f aca="false">IF(C37="","",TRIM(IFERROR(LEFT(C37,FIND("(",C37)-1),C37)))</f>
        <v/>
      </c>
      <c r="AO37" s="10" t="str">
        <f aca="false">IF(E37="","",TRIM(IFERROR(LEFT(E37,FIND("(",E37)-1),E37)))</f>
        <v/>
      </c>
      <c r="AP37" s="10" t="str">
        <f aca="false">IF(G37="","",TRIM(IFERROR(LEFT(G37,FIND("(",G37)-1),G37)))</f>
        <v/>
      </c>
      <c r="AQ37" s="10" t="str">
        <f aca="false">IF(I37="","",TRIM(IFERROR(LEFT(I37,FIND("(",I37)-1),I37)))</f>
        <v/>
      </c>
      <c r="AR37" s="10" t="str">
        <f aca="false">IF(K37="","",TRIM(IFERROR(LEFT(K37,FIND("(",K37)-1),K37)))</f>
        <v/>
      </c>
      <c r="AS37" s="10" t="str">
        <f aca="false">IF(M37="","",TRIM(IFERROR(LEFT(M37,FIND("(",M37)-1),M37)))</f>
        <v/>
      </c>
      <c r="AT37" s="10" t="str">
        <f aca="false">IF(O37="","",TRIM(IFERROR(LEFT(O37,FIND("(",O37)-1),O37)))</f>
        <v/>
      </c>
      <c r="AU37" s="10" t="str">
        <f aca="false">IF(Q37="","",TRIM(IFERROR(LEFT(Q37,FIND("(",Q37)-1),Q37)))</f>
        <v/>
      </c>
    </row>
    <row r="38" customFormat="false" ht="15" hidden="false" customHeight="false" outlineLevel="0" collapsed="false">
      <c r="A38" s="14" t="n">
        <v>24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T38" s="10" t="str">
        <f aca="false">IF(B38&lt;&gt;"",TRIM(IFERROR(LEFT(B38,FIND("(",B38)-1),B38)),T37)</f>
        <v>Mobius</v>
      </c>
      <c r="U38" s="10" t="str">
        <f aca="false">IF(D38&lt;&gt;"",TRIM(IFERROR(LEFT(D38,FIND("(",D38)-1),D38)),U37)</f>
        <v>Packing</v>
      </c>
      <c r="V38" s="10" t="str">
        <f aca="false">IF(F38&lt;&gt;"",TRIM(IFERROR(LEFT(F38,FIND("(",F38)-1),F38)),V37)</f>
        <v/>
      </c>
      <c r="W38" s="10" t="str">
        <f aca="false">IF(H38&lt;&gt;"",TRIM(IFERROR(LEFT(H38,FIND("(",H38)-1),H38)),W37)</f>
        <v>Cuartos</v>
      </c>
      <c r="X38" s="10" t="str">
        <f aca="false">IF(J38&lt;&gt;"",TRIM(IFERROR(LEFT(J38,FIND("(",J38)-1),J38)),X37)</f>
        <v>Chofer</v>
      </c>
      <c r="Y38" s="10" t="str">
        <f aca="false">IF(L38&lt;&gt;"",TRIM(IFERROR(LEFT(L38,FIND("(",L38)-1),L38)),Y37)</f>
        <v>Regar</v>
      </c>
      <c r="Z38" s="10" t="str">
        <f aca="false">IF(N38&lt;&gt;"",TRIM(IFERROR(LEFT(N38,FIND("(",N38)-1),N38)),Z37)</f>
        <v>Fresh frozen</v>
      </c>
      <c r="AA38" s="10" t="str">
        <f aca="false">IF(P38&lt;&gt;"",TRIM(IFERROR(LEFT(P38,FIND("(",P38)-1),P38)),AA37)</f>
        <v/>
      </c>
      <c r="AD38" s="10" t="str">
        <f aca="false">IF(C38="","",IF(T38="","(sin responsabilidad)",T38))</f>
        <v/>
      </c>
      <c r="AE38" s="10" t="str">
        <f aca="false">IF(E38="","",IF(U38="","(sin responsabilidad)",U38))</f>
        <v/>
      </c>
      <c r="AF38" s="10" t="str">
        <f aca="false">IF(G38="","",IF(V38="","(sin responsabilidad)",V38))</f>
        <v/>
      </c>
      <c r="AG38" s="10" t="str">
        <f aca="false">IF(I38="","",IF(W38="","(sin responsabilidad)",W38))</f>
        <v/>
      </c>
      <c r="AH38" s="10" t="str">
        <f aca="false">IF(K38="","",IF(X38="","(sin responsabilidad)",X38))</f>
        <v/>
      </c>
      <c r="AI38" s="10" t="str">
        <f aca="false">IF(M38="","",IF(Y38="","(sin responsabilidad)",Y38))</f>
        <v/>
      </c>
      <c r="AJ38" s="10" t="str">
        <f aca="false">IF(O38="","",IF(Z38="","(sin responsabilidad)",Z38))</f>
        <v/>
      </c>
      <c r="AK38" s="10" t="str">
        <f aca="false">IF(Q38="","",IF(AA38="","(sin responsabilidad)",AA38))</f>
        <v/>
      </c>
      <c r="AN38" s="10" t="str">
        <f aca="false">IF(C38="","",TRIM(IFERROR(LEFT(C38,FIND("(",C38)-1),C38)))</f>
        <v/>
      </c>
      <c r="AO38" s="10" t="str">
        <f aca="false">IF(E38="","",TRIM(IFERROR(LEFT(E38,FIND("(",E38)-1),E38)))</f>
        <v/>
      </c>
      <c r="AP38" s="10" t="str">
        <f aca="false">IF(G38="","",TRIM(IFERROR(LEFT(G38,FIND("(",G38)-1),G38)))</f>
        <v/>
      </c>
      <c r="AQ38" s="10" t="str">
        <f aca="false">IF(I38="","",TRIM(IFERROR(LEFT(I38,FIND("(",I38)-1),I38)))</f>
        <v/>
      </c>
      <c r="AR38" s="10" t="str">
        <f aca="false">IF(K38="","",TRIM(IFERROR(LEFT(K38,FIND("(",K38)-1),K38)))</f>
        <v/>
      </c>
      <c r="AS38" s="10" t="str">
        <f aca="false">IF(M38="","",TRIM(IFERROR(LEFT(M38,FIND("(",M38)-1),M38)))</f>
        <v/>
      </c>
      <c r="AT38" s="10" t="str">
        <f aca="false">IF(O38="","",TRIM(IFERROR(LEFT(O38,FIND("(",O38)-1),O38)))</f>
        <v/>
      </c>
      <c r="AU38" s="10" t="str">
        <f aca="false">IF(Q38="","",TRIM(IFERROR(LEFT(Q38,FIND("(",Q38)-1),Q38)))</f>
        <v/>
      </c>
    </row>
    <row r="39" customFormat="false" ht="15" hidden="false" customHeight="false" outlineLevel="0" collapsed="false">
      <c r="A39" s="14" t="n">
        <v>25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T39" s="10" t="str">
        <f aca="false">IF(B39&lt;&gt;"",TRIM(IFERROR(LEFT(B39,FIND("(",B39)-1),B39)),T38)</f>
        <v>Mobius</v>
      </c>
      <c r="U39" s="10" t="str">
        <f aca="false">IF(D39&lt;&gt;"",TRIM(IFERROR(LEFT(D39,FIND("(",D39)-1),D39)),U38)</f>
        <v>Packing</v>
      </c>
      <c r="V39" s="10" t="str">
        <f aca="false">IF(F39&lt;&gt;"",TRIM(IFERROR(LEFT(F39,FIND("(",F39)-1),F39)),V38)</f>
        <v/>
      </c>
      <c r="W39" s="10" t="str">
        <f aca="false">IF(H39&lt;&gt;"",TRIM(IFERROR(LEFT(H39,FIND("(",H39)-1),H39)),W38)</f>
        <v>Cuartos</v>
      </c>
      <c r="X39" s="10" t="str">
        <f aca="false">IF(J39&lt;&gt;"",TRIM(IFERROR(LEFT(J39,FIND("(",J39)-1),J39)),X38)</f>
        <v>Chofer</v>
      </c>
      <c r="Y39" s="10" t="str">
        <f aca="false">IF(L39&lt;&gt;"",TRIM(IFERROR(LEFT(L39,FIND("(",L39)-1),L39)),Y38)</f>
        <v>Regar</v>
      </c>
      <c r="Z39" s="10" t="str">
        <f aca="false">IF(N39&lt;&gt;"",TRIM(IFERROR(LEFT(N39,FIND("(",N39)-1),N39)),Z38)</f>
        <v>Fresh frozen</v>
      </c>
      <c r="AA39" s="10" t="str">
        <f aca="false">IF(P39&lt;&gt;"",TRIM(IFERROR(LEFT(P39,FIND("(",P39)-1),P39)),AA38)</f>
        <v/>
      </c>
      <c r="AD39" s="10" t="str">
        <f aca="false">IF(C39="","",IF(T39="","(sin responsabilidad)",T39))</f>
        <v/>
      </c>
      <c r="AE39" s="10" t="str">
        <f aca="false">IF(E39="","",IF(U39="","(sin responsabilidad)",U39))</f>
        <v/>
      </c>
      <c r="AF39" s="10" t="str">
        <f aca="false">IF(G39="","",IF(V39="","(sin responsabilidad)",V39))</f>
        <v/>
      </c>
      <c r="AG39" s="10" t="str">
        <f aca="false">IF(I39="","",IF(W39="","(sin responsabilidad)",W39))</f>
        <v/>
      </c>
      <c r="AH39" s="10" t="str">
        <f aca="false">IF(K39="","",IF(X39="","(sin responsabilidad)",X39))</f>
        <v/>
      </c>
      <c r="AI39" s="10" t="str">
        <f aca="false">IF(M39="","",IF(Y39="","(sin responsabilidad)",Y39))</f>
        <v/>
      </c>
      <c r="AJ39" s="10" t="str">
        <f aca="false">IF(O39="","",IF(Z39="","(sin responsabilidad)",Z39))</f>
        <v/>
      </c>
      <c r="AK39" s="10" t="str">
        <f aca="false">IF(Q39="","",IF(AA39="","(sin responsabilidad)",AA39))</f>
        <v/>
      </c>
      <c r="AN39" s="10" t="str">
        <f aca="false">IF(C39="","",TRIM(IFERROR(LEFT(C39,FIND("(",C39)-1),C39)))</f>
        <v/>
      </c>
      <c r="AO39" s="10" t="str">
        <f aca="false">IF(E39="","",TRIM(IFERROR(LEFT(E39,FIND("(",E39)-1),E39)))</f>
        <v/>
      </c>
      <c r="AP39" s="10" t="str">
        <f aca="false">IF(G39="","",TRIM(IFERROR(LEFT(G39,FIND("(",G39)-1),G39)))</f>
        <v/>
      </c>
      <c r="AQ39" s="10" t="str">
        <f aca="false">IF(I39="","",TRIM(IFERROR(LEFT(I39,FIND("(",I39)-1),I39)))</f>
        <v/>
      </c>
      <c r="AR39" s="10" t="str">
        <f aca="false">IF(K39="","",TRIM(IFERROR(LEFT(K39,FIND("(",K39)-1),K39)))</f>
        <v/>
      </c>
      <c r="AS39" s="10" t="str">
        <f aca="false">IF(M39="","",TRIM(IFERROR(LEFT(M39,FIND("(",M39)-1),M39)))</f>
        <v/>
      </c>
      <c r="AT39" s="10" t="str">
        <f aca="false">IF(O39="","",TRIM(IFERROR(LEFT(O39,FIND("(",O39)-1),O39)))</f>
        <v/>
      </c>
      <c r="AU39" s="10" t="str">
        <f aca="false">IF(Q39="","",TRIM(IFERROR(LEFT(Q39,FIND("(",Q39)-1),Q39)))</f>
        <v/>
      </c>
    </row>
    <row r="40" customFormat="false" ht="15" hidden="false" customHeight="false" outlineLevel="0" collapsed="false">
      <c r="A40" s="14" t="n">
        <v>26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T40" s="10" t="str">
        <f aca="false">IF(B40&lt;&gt;"",TRIM(IFERROR(LEFT(B40,FIND("(",B40)-1),B40)),T39)</f>
        <v>Mobius</v>
      </c>
      <c r="U40" s="10" t="str">
        <f aca="false">IF(D40&lt;&gt;"",TRIM(IFERROR(LEFT(D40,FIND("(",D40)-1),D40)),U39)</f>
        <v>Packing</v>
      </c>
      <c r="V40" s="10" t="str">
        <f aca="false">IF(F40&lt;&gt;"",TRIM(IFERROR(LEFT(F40,FIND("(",F40)-1),F40)),V39)</f>
        <v/>
      </c>
      <c r="W40" s="10" t="str">
        <f aca="false">IF(H40&lt;&gt;"",TRIM(IFERROR(LEFT(H40,FIND("(",H40)-1),H40)),W39)</f>
        <v>Cuartos</v>
      </c>
      <c r="X40" s="10" t="str">
        <f aca="false">IF(J40&lt;&gt;"",TRIM(IFERROR(LEFT(J40,FIND("(",J40)-1),J40)),X39)</f>
        <v>Chofer</v>
      </c>
      <c r="Y40" s="10" t="str">
        <f aca="false">IF(L40&lt;&gt;"",TRIM(IFERROR(LEFT(L40,FIND("(",L40)-1),L40)),Y39)</f>
        <v>Regar</v>
      </c>
      <c r="Z40" s="10" t="str">
        <f aca="false">IF(N40&lt;&gt;"",TRIM(IFERROR(LEFT(N40,FIND("(",N40)-1),N40)),Z39)</f>
        <v>Fresh frozen</v>
      </c>
      <c r="AA40" s="10" t="str">
        <f aca="false">IF(P40&lt;&gt;"",TRIM(IFERROR(LEFT(P40,FIND("(",P40)-1),P40)),AA39)</f>
        <v/>
      </c>
      <c r="AD40" s="10" t="str">
        <f aca="false">IF(C40="","",IF(T40="","(sin responsabilidad)",T40))</f>
        <v/>
      </c>
      <c r="AE40" s="10" t="str">
        <f aca="false">IF(E40="","",IF(U40="","(sin responsabilidad)",U40))</f>
        <v/>
      </c>
      <c r="AF40" s="10" t="str">
        <f aca="false">IF(G40="","",IF(V40="","(sin responsabilidad)",V40))</f>
        <v/>
      </c>
      <c r="AG40" s="10" t="str">
        <f aca="false">IF(I40="","",IF(W40="","(sin responsabilidad)",W40))</f>
        <v/>
      </c>
      <c r="AH40" s="10" t="str">
        <f aca="false">IF(K40="","",IF(X40="","(sin responsabilidad)",X40))</f>
        <v/>
      </c>
      <c r="AI40" s="10" t="str">
        <f aca="false">IF(M40="","",IF(Y40="","(sin responsabilidad)",Y40))</f>
        <v/>
      </c>
      <c r="AJ40" s="10" t="str">
        <f aca="false">IF(O40="","",IF(Z40="","(sin responsabilidad)",Z40))</f>
        <v/>
      </c>
      <c r="AK40" s="10" t="str">
        <f aca="false">IF(Q40="","",IF(AA40="","(sin responsabilidad)",AA40))</f>
        <v/>
      </c>
      <c r="AN40" s="10" t="str">
        <f aca="false">IF(C40="","",TRIM(IFERROR(LEFT(C40,FIND("(",C40)-1),C40)))</f>
        <v/>
      </c>
      <c r="AO40" s="10" t="str">
        <f aca="false">IF(E40="","",TRIM(IFERROR(LEFT(E40,FIND("(",E40)-1),E40)))</f>
        <v/>
      </c>
      <c r="AP40" s="10" t="str">
        <f aca="false">IF(G40="","",TRIM(IFERROR(LEFT(G40,FIND("(",G40)-1),G40)))</f>
        <v/>
      </c>
      <c r="AQ40" s="10" t="str">
        <f aca="false">IF(I40="","",TRIM(IFERROR(LEFT(I40,FIND("(",I40)-1),I40)))</f>
        <v/>
      </c>
      <c r="AR40" s="10" t="str">
        <f aca="false">IF(K40="","",TRIM(IFERROR(LEFT(K40,FIND("(",K40)-1),K40)))</f>
        <v/>
      </c>
      <c r="AS40" s="10" t="str">
        <f aca="false">IF(M40="","",TRIM(IFERROR(LEFT(M40,FIND("(",M40)-1),M40)))</f>
        <v/>
      </c>
      <c r="AT40" s="10" t="str">
        <f aca="false">IF(O40="","",TRIM(IFERROR(LEFT(O40,FIND("(",O40)-1),O40)))</f>
        <v/>
      </c>
      <c r="AU40" s="10" t="str">
        <f aca="false">IF(Q40="","",TRIM(IFERROR(LEFT(Q40,FIND("(",Q40)-1),Q40)))</f>
        <v/>
      </c>
    </row>
    <row r="41" customFormat="false" ht="15" hidden="false" customHeight="false" outlineLevel="0" collapsed="false">
      <c r="A41" s="14" t="n">
        <v>27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T41" s="10" t="str">
        <f aca="false">IF(B41&lt;&gt;"",TRIM(IFERROR(LEFT(B41,FIND("(",B41)-1),B41)),T40)</f>
        <v>Mobius</v>
      </c>
      <c r="U41" s="10" t="str">
        <f aca="false">IF(D41&lt;&gt;"",TRIM(IFERROR(LEFT(D41,FIND("(",D41)-1),D41)),U40)</f>
        <v>Packing</v>
      </c>
      <c r="V41" s="10" t="str">
        <f aca="false">IF(F41&lt;&gt;"",TRIM(IFERROR(LEFT(F41,FIND("(",F41)-1),F41)),V40)</f>
        <v/>
      </c>
      <c r="W41" s="10" t="str">
        <f aca="false">IF(H41&lt;&gt;"",TRIM(IFERROR(LEFT(H41,FIND("(",H41)-1),H41)),W40)</f>
        <v>Cuartos</v>
      </c>
      <c r="X41" s="10" t="str">
        <f aca="false">IF(J41&lt;&gt;"",TRIM(IFERROR(LEFT(J41,FIND("(",J41)-1),J41)),X40)</f>
        <v>Chofer</v>
      </c>
      <c r="Y41" s="10" t="str">
        <f aca="false">IF(L41&lt;&gt;"",TRIM(IFERROR(LEFT(L41,FIND("(",L41)-1),L41)),Y40)</f>
        <v>Regar</v>
      </c>
      <c r="Z41" s="10" t="str">
        <f aca="false">IF(N41&lt;&gt;"",TRIM(IFERROR(LEFT(N41,FIND("(",N41)-1),N41)),Z40)</f>
        <v>Fresh frozen</v>
      </c>
      <c r="AA41" s="10" t="str">
        <f aca="false">IF(P41&lt;&gt;"",TRIM(IFERROR(LEFT(P41,FIND("(",P41)-1),P41)),AA40)</f>
        <v/>
      </c>
      <c r="AD41" s="10" t="str">
        <f aca="false">IF(C41="","",IF(T41="","(sin responsabilidad)",T41))</f>
        <v/>
      </c>
      <c r="AE41" s="10" t="str">
        <f aca="false">IF(E41="","",IF(U41="","(sin responsabilidad)",U41))</f>
        <v/>
      </c>
      <c r="AF41" s="10" t="str">
        <f aca="false">IF(G41="","",IF(V41="","(sin responsabilidad)",V41))</f>
        <v/>
      </c>
      <c r="AG41" s="10" t="str">
        <f aca="false">IF(I41="","",IF(W41="","(sin responsabilidad)",W41))</f>
        <v/>
      </c>
      <c r="AH41" s="10" t="str">
        <f aca="false">IF(K41="","",IF(X41="","(sin responsabilidad)",X41))</f>
        <v/>
      </c>
      <c r="AI41" s="10" t="str">
        <f aca="false">IF(M41="","",IF(Y41="","(sin responsabilidad)",Y41))</f>
        <v/>
      </c>
      <c r="AJ41" s="10" t="str">
        <f aca="false">IF(O41="","",IF(Z41="","(sin responsabilidad)",Z41))</f>
        <v/>
      </c>
      <c r="AK41" s="10" t="str">
        <f aca="false">IF(Q41="","",IF(AA41="","(sin responsabilidad)",AA41))</f>
        <v/>
      </c>
      <c r="AN41" s="10" t="str">
        <f aca="false">IF(C41="","",TRIM(IFERROR(LEFT(C41,FIND("(",C41)-1),C41)))</f>
        <v/>
      </c>
      <c r="AO41" s="10" t="str">
        <f aca="false">IF(E41="","",TRIM(IFERROR(LEFT(E41,FIND("(",E41)-1),E41)))</f>
        <v/>
      </c>
      <c r="AP41" s="10" t="str">
        <f aca="false">IF(G41="","",TRIM(IFERROR(LEFT(G41,FIND("(",G41)-1),G41)))</f>
        <v/>
      </c>
      <c r="AQ41" s="10" t="str">
        <f aca="false">IF(I41="","",TRIM(IFERROR(LEFT(I41,FIND("(",I41)-1),I41)))</f>
        <v/>
      </c>
      <c r="AR41" s="10" t="str">
        <f aca="false">IF(K41="","",TRIM(IFERROR(LEFT(K41,FIND("(",K41)-1),K41)))</f>
        <v/>
      </c>
      <c r="AS41" s="10" t="str">
        <f aca="false">IF(M41="","",TRIM(IFERROR(LEFT(M41,FIND("(",M41)-1),M41)))</f>
        <v/>
      </c>
      <c r="AT41" s="10" t="str">
        <f aca="false">IF(O41="","",TRIM(IFERROR(LEFT(O41,FIND("(",O41)-1),O41)))</f>
        <v/>
      </c>
      <c r="AU41" s="10" t="str">
        <f aca="false">IF(Q41="","",TRIM(IFERROR(LEFT(Q41,FIND("(",Q41)-1),Q41)))</f>
        <v/>
      </c>
    </row>
    <row r="42" customFormat="false" ht="15" hidden="false" customHeight="false" outlineLevel="0" collapsed="false">
      <c r="A42" s="14" t="n">
        <v>28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T42" s="10" t="str">
        <f aca="false">IF(B42&lt;&gt;"",TRIM(IFERROR(LEFT(B42,FIND("(",B42)-1),B42)),T41)</f>
        <v>Mobius</v>
      </c>
      <c r="U42" s="10" t="str">
        <f aca="false">IF(D42&lt;&gt;"",TRIM(IFERROR(LEFT(D42,FIND("(",D42)-1),D42)),U41)</f>
        <v>Packing</v>
      </c>
      <c r="V42" s="10" t="str">
        <f aca="false">IF(F42&lt;&gt;"",TRIM(IFERROR(LEFT(F42,FIND("(",F42)-1),F42)),V41)</f>
        <v/>
      </c>
      <c r="W42" s="10" t="str">
        <f aca="false">IF(H42&lt;&gt;"",TRIM(IFERROR(LEFT(H42,FIND("(",H42)-1),H42)),W41)</f>
        <v>Cuartos</v>
      </c>
      <c r="X42" s="10" t="str">
        <f aca="false">IF(J42&lt;&gt;"",TRIM(IFERROR(LEFT(J42,FIND("(",J42)-1),J42)),X41)</f>
        <v>Chofer</v>
      </c>
      <c r="Y42" s="10" t="str">
        <f aca="false">IF(L42&lt;&gt;"",TRIM(IFERROR(LEFT(L42,FIND("(",L42)-1),L42)),Y41)</f>
        <v>Regar</v>
      </c>
      <c r="Z42" s="10" t="str">
        <f aca="false">IF(N42&lt;&gt;"",TRIM(IFERROR(LEFT(N42,FIND("(",N42)-1),N42)),Z41)</f>
        <v>Fresh frozen</v>
      </c>
      <c r="AA42" s="10" t="str">
        <f aca="false">IF(P42&lt;&gt;"",TRIM(IFERROR(LEFT(P42,FIND("(",P42)-1),P42)),AA41)</f>
        <v/>
      </c>
      <c r="AD42" s="10" t="str">
        <f aca="false">IF(C42="","",IF(T42="","(sin responsabilidad)",T42))</f>
        <v/>
      </c>
      <c r="AE42" s="10" t="str">
        <f aca="false">IF(E42="","",IF(U42="","(sin responsabilidad)",U42))</f>
        <v/>
      </c>
      <c r="AF42" s="10" t="str">
        <f aca="false">IF(G42="","",IF(V42="","(sin responsabilidad)",V42))</f>
        <v/>
      </c>
      <c r="AG42" s="10" t="str">
        <f aca="false">IF(I42="","",IF(W42="","(sin responsabilidad)",W42))</f>
        <v/>
      </c>
      <c r="AH42" s="10" t="str">
        <f aca="false">IF(K42="","",IF(X42="","(sin responsabilidad)",X42))</f>
        <v/>
      </c>
      <c r="AI42" s="10" t="str">
        <f aca="false">IF(M42="","",IF(Y42="","(sin responsabilidad)",Y42))</f>
        <v/>
      </c>
      <c r="AJ42" s="10" t="str">
        <f aca="false">IF(O42="","",IF(Z42="","(sin responsabilidad)",Z42))</f>
        <v/>
      </c>
      <c r="AK42" s="10" t="str">
        <f aca="false">IF(Q42="","",IF(AA42="","(sin responsabilidad)",AA42))</f>
        <v/>
      </c>
      <c r="AN42" s="10" t="str">
        <f aca="false">IF(C42="","",TRIM(IFERROR(LEFT(C42,FIND("(",C42)-1),C42)))</f>
        <v/>
      </c>
      <c r="AO42" s="10" t="str">
        <f aca="false">IF(E42="","",TRIM(IFERROR(LEFT(E42,FIND("(",E42)-1),E42)))</f>
        <v/>
      </c>
      <c r="AP42" s="10" t="str">
        <f aca="false">IF(G42="","",TRIM(IFERROR(LEFT(G42,FIND("(",G42)-1),G42)))</f>
        <v/>
      </c>
      <c r="AQ42" s="10" t="str">
        <f aca="false">IF(I42="","",TRIM(IFERROR(LEFT(I42,FIND("(",I42)-1),I42)))</f>
        <v/>
      </c>
      <c r="AR42" s="10" t="str">
        <f aca="false">IF(K42="","",TRIM(IFERROR(LEFT(K42,FIND("(",K42)-1),K42)))</f>
        <v/>
      </c>
      <c r="AS42" s="10" t="str">
        <f aca="false">IF(M42="","",TRIM(IFERROR(LEFT(M42,FIND("(",M42)-1),M42)))</f>
        <v/>
      </c>
      <c r="AT42" s="10" t="str">
        <f aca="false">IF(O42="","",TRIM(IFERROR(LEFT(O42,FIND("(",O42)-1),O42)))</f>
        <v/>
      </c>
      <c r="AU42" s="10" t="str">
        <f aca="false">IF(Q42="","",TRIM(IFERROR(LEFT(Q42,FIND("(",Q42)-1),Q42)))</f>
        <v/>
      </c>
    </row>
    <row r="43" customFormat="false" ht="15" hidden="false" customHeight="false" outlineLevel="0" collapsed="false">
      <c r="A43" s="14" t="n">
        <v>29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T43" s="10" t="str">
        <f aca="false">IF(B43&lt;&gt;"",TRIM(IFERROR(LEFT(B43,FIND("(",B43)-1),B43)),T42)</f>
        <v>Mobius</v>
      </c>
      <c r="U43" s="10" t="str">
        <f aca="false">IF(D43&lt;&gt;"",TRIM(IFERROR(LEFT(D43,FIND("(",D43)-1),D43)),U42)</f>
        <v>Packing</v>
      </c>
      <c r="V43" s="10" t="str">
        <f aca="false">IF(F43&lt;&gt;"",TRIM(IFERROR(LEFT(F43,FIND("(",F43)-1),F43)),V42)</f>
        <v/>
      </c>
      <c r="W43" s="10" t="str">
        <f aca="false">IF(H43&lt;&gt;"",TRIM(IFERROR(LEFT(H43,FIND("(",H43)-1),H43)),W42)</f>
        <v>Cuartos</v>
      </c>
      <c r="X43" s="10" t="str">
        <f aca="false">IF(J43&lt;&gt;"",TRIM(IFERROR(LEFT(J43,FIND("(",J43)-1),J43)),X42)</f>
        <v>Chofer</v>
      </c>
      <c r="Y43" s="10" t="str">
        <f aca="false">IF(L43&lt;&gt;"",TRIM(IFERROR(LEFT(L43,FIND("(",L43)-1),L43)),Y42)</f>
        <v>Regar</v>
      </c>
      <c r="Z43" s="10" t="str">
        <f aca="false">IF(N43&lt;&gt;"",TRIM(IFERROR(LEFT(N43,FIND("(",N43)-1),N43)),Z42)</f>
        <v>Fresh frozen</v>
      </c>
      <c r="AA43" s="10" t="str">
        <f aca="false">IF(P43&lt;&gt;"",TRIM(IFERROR(LEFT(P43,FIND("(",P43)-1),P43)),AA42)</f>
        <v/>
      </c>
      <c r="AD43" s="10" t="str">
        <f aca="false">IF(C43="","",IF(T43="","(sin responsabilidad)",T43))</f>
        <v/>
      </c>
      <c r="AE43" s="10" t="str">
        <f aca="false">IF(E43="","",IF(U43="","(sin responsabilidad)",U43))</f>
        <v/>
      </c>
      <c r="AF43" s="10" t="str">
        <f aca="false">IF(G43="","",IF(V43="","(sin responsabilidad)",V43))</f>
        <v/>
      </c>
      <c r="AG43" s="10" t="str">
        <f aca="false">IF(I43="","",IF(W43="","(sin responsabilidad)",W43))</f>
        <v/>
      </c>
      <c r="AH43" s="10" t="str">
        <f aca="false">IF(K43="","",IF(X43="","(sin responsabilidad)",X43))</f>
        <v/>
      </c>
      <c r="AI43" s="10" t="str">
        <f aca="false">IF(M43="","",IF(Y43="","(sin responsabilidad)",Y43))</f>
        <v/>
      </c>
      <c r="AJ43" s="10" t="str">
        <f aca="false">IF(O43="","",IF(Z43="","(sin responsabilidad)",Z43))</f>
        <v/>
      </c>
      <c r="AK43" s="10" t="str">
        <f aca="false">IF(Q43="","",IF(AA43="","(sin responsabilidad)",AA43))</f>
        <v/>
      </c>
      <c r="AN43" s="10" t="str">
        <f aca="false">IF(C43="","",TRIM(IFERROR(LEFT(C43,FIND("(",C43)-1),C43)))</f>
        <v/>
      </c>
      <c r="AO43" s="10" t="str">
        <f aca="false">IF(E43="","",TRIM(IFERROR(LEFT(E43,FIND("(",E43)-1),E43)))</f>
        <v/>
      </c>
      <c r="AP43" s="10" t="str">
        <f aca="false">IF(G43="","",TRIM(IFERROR(LEFT(G43,FIND("(",G43)-1),G43)))</f>
        <v/>
      </c>
      <c r="AQ43" s="10" t="str">
        <f aca="false">IF(I43="","",TRIM(IFERROR(LEFT(I43,FIND("(",I43)-1),I43)))</f>
        <v/>
      </c>
      <c r="AR43" s="10" t="str">
        <f aca="false">IF(K43="","",TRIM(IFERROR(LEFT(K43,FIND("(",K43)-1),K43)))</f>
        <v/>
      </c>
      <c r="AS43" s="10" t="str">
        <f aca="false">IF(M43="","",TRIM(IFERROR(LEFT(M43,FIND("(",M43)-1),M43)))</f>
        <v/>
      </c>
      <c r="AT43" s="10" t="str">
        <f aca="false">IF(O43="","",TRIM(IFERROR(LEFT(O43,FIND("(",O43)-1),O43)))</f>
        <v/>
      </c>
      <c r="AU43" s="10" t="str">
        <f aca="false">IF(Q43="","",TRIM(IFERROR(LEFT(Q43,FIND("(",Q43)-1),Q43)))</f>
        <v/>
      </c>
    </row>
    <row r="44" customFormat="false" ht="15" hidden="false" customHeight="false" outlineLevel="0" collapsed="false">
      <c r="A44" s="14" t="n">
        <v>30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T44" s="10" t="str">
        <f aca="false">IF(B44&lt;&gt;"",TRIM(IFERROR(LEFT(B44,FIND("(",B44)-1),B44)),T43)</f>
        <v>Mobius</v>
      </c>
      <c r="U44" s="10" t="str">
        <f aca="false">IF(D44&lt;&gt;"",TRIM(IFERROR(LEFT(D44,FIND("(",D44)-1),D44)),U43)</f>
        <v>Packing</v>
      </c>
      <c r="V44" s="10" t="str">
        <f aca="false">IF(F44&lt;&gt;"",TRIM(IFERROR(LEFT(F44,FIND("(",F44)-1),F44)),V43)</f>
        <v/>
      </c>
      <c r="W44" s="10" t="str">
        <f aca="false">IF(H44&lt;&gt;"",TRIM(IFERROR(LEFT(H44,FIND("(",H44)-1),H44)),W43)</f>
        <v>Cuartos</v>
      </c>
      <c r="X44" s="10" t="str">
        <f aca="false">IF(J44&lt;&gt;"",TRIM(IFERROR(LEFT(J44,FIND("(",J44)-1),J44)),X43)</f>
        <v>Chofer</v>
      </c>
      <c r="Y44" s="10" t="str">
        <f aca="false">IF(L44&lt;&gt;"",TRIM(IFERROR(LEFT(L44,FIND("(",L44)-1),L44)),Y43)</f>
        <v>Regar</v>
      </c>
      <c r="Z44" s="10" t="str">
        <f aca="false">IF(N44&lt;&gt;"",TRIM(IFERROR(LEFT(N44,FIND("(",N44)-1),N44)),Z43)</f>
        <v>Fresh frozen</v>
      </c>
      <c r="AA44" s="10" t="str">
        <f aca="false">IF(P44&lt;&gt;"",TRIM(IFERROR(LEFT(P44,FIND("(",P44)-1),P44)),AA43)</f>
        <v/>
      </c>
      <c r="AD44" s="10" t="str">
        <f aca="false">IF(C44="","",IF(T44="","(sin responsabilidad)",T44))</f>
        <v/>
      </c>
      <c r="AE44" s="10" t="str">
        <f aca="false">IF(E44="","",IF(U44="","(sin responsabilidad)",U44))</f>
        <v/>
      </c>
      <c r="AF44" s="10" t="str">
        <f aca="false">IF(G44="","",IF(V44="","(sin responsabilidad)",V44))</f>
        <v/>
      </c>
      <c r="AG44" s="10" t="str">
        <f aca="false">IF(I44="","",IF(W44="","(sin responsabilidad)",W44))</f>
        <v/>
      </c>
      <c r="AH44" s="10" t="str">
        <f aca="false">IF(K44="","",IF(X44="","(sin responsabilidad)",X44))</f>
        <v/>
      </c>
      <c r="AI44" s="10" t="str">
        <f aca="false">IF(M44="","",IF(Y44="","(sin responsabilidad)",Y44))</f>
        <v/>
      </c>
      <c r="AJ44" s="10" t="str">
        <f aca="false">IF(O44="","",IF(Z44="","(sin responsabilidad)",Z44))</f>
        <v/>
      </c>
      <c r="AK44" s="10" t="str">
        <f aca="false">IF(Q44="","",IF(AA44="","(sin responsabilidad)",AA44))</f>
        <v/>
      </c>
      <c r="AN44" s="10" t="str">
        <f aca="false">IF(C44="","",TRIM(IFERROR(LEFT(C44,FIND("(",C44)-1),C44)))</f>
        <v/>
      </c>
      <c r="AO44" s="10" t="str">
        <f aca="false">IF(E44="","",TRIM(IFERROR(LEFT(E44,FIND("(",E44)-1),E44)))</f>
        <v/>
      </c>
      <c r="AP44" s="10" t="str">
        <f aca="false">IF(G44="","",TRIM(IFERROR(LEFT(G44,FIND("(",G44)-1),G44)))</f>
        <v/>
      </c>
      <c r="AQ44" s="10" t="str">
        <f aca="false">IF(I44="","",TRIM(IFERROR(LEFT(I44,FIND("(",I44)-1),I44)))</f>
        <v/>
      </c>
      <c r="AR44" s="10" t="str">
        <f aca="false">IF(K44="","",TRIM(IFERROR(LEFT(K44,FIND("(",K44)-1),K44)))</f>
        <v/>
      </c>
      <c r="AS44" s="10" t="str">
        <f aca="false">IF(M44="","",TRIM(IFERROR(LEFT(M44,FIND("(",M44)-1),M44)))</f>
        <v/>
      </c>
      <c r="AT44" s="10" t="str">
        <f aca="false">IF(O44="","",TRIM(IFERROR(LEFT(O44,FIND("(",O44)-1),O44)))</f>
        <v/>
      </c>
      <c r="AU44" s="10" t="str">
        <f aca="false">IF(Q44="","",TRIM(IFERROR(LEFT(Q44,FIND("(",Q44)-1),Q44)))</f>
        <v/>
      </c>
    </row>
    <row r="45" customFormat="false" ht="15" hidden="false" customHeight="false" outlineLevel="0" collapsed="false">
      <c r="A45" s="14" t="n">
        <v>31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T45" s="10" t="str">
        <f aca="false">IF(B45&lt;&gt;"",TRIM(IFERROR(LEFT(B45,FIND("(",B45)-1),B45)),T44)</f>
        <v>Mobius</v>
      </c>
      <c r="U45" s="10" t="str">
        <f aca="false">IF(D45&lt;&gt;"",TRIM(IFERROR(LEFT(D45,FIND("(",D45)-1),D45)),U44)</f>
        <v>Packing</v>
      </c>
      <c r="V45" s="10" t="str">
        <f aca="false">IF(F45&lt;&gt;"",TRIM(IFERROR(LEFT(F45,FIND("(",F45)-1),F45)),V44)</f>
        <v/>
      </c>
      <c r="W45" s="10" t="str">
        <f aca="false">IF(H45&lt;&gt;"",TRIM(IFERROR(LEFT(H45,FIND("(",H45)-1),H45)),W44)</f>
        <v>Cuartos</v>
      </c>
      <c r="X45" s="10" t="str">
        <f aca="false">IF(J45&lt;&gt;"",TRIM(IFERROR(LEFT(J45,FIND("(",J45)-1),J45)),X44)</f>
        <v>Chofer</v>
      </c>
      <c r="Y45" s="10" t="str">
        <f aca="false">IF(L45&lt;&gt;"",TRIM(IFERROR(LEFT(L45,FIND("(",L45)-1),L45)),Y44)</f>
        <v>Regar</v>
      </c>
      <c r="Z45" s="10" t="str">
        <f aca="false">IF(N45&lt;&gt;"",TRIM(IFERROR(LEFT(N45,FIND("(",N45)-1),N45)),Z44)</f>
        <v>Fresh frozen</v>
      </c>
      <c r="AA45" s="10" t="str">
        <f aca="false">IF(P45&lt;&gt;"",TRIM(IFERROR(LEFT(P45,FIND("(",P45)-1),P45)),AA44)</f>
        <v/>
      </c>
      <c r="AD45" s="10" t="str">
        <f aca="false">IF(C45="","",IF(T45="","(sin responsabilidad)",T45))</f>
        <v/>
      </c>
      <c r="AE45" s="10" t="str">
        <f aca="false">IF(E45="","",IF(U45="","(sin responsabilidad)",U45))</f>
        <v/>
      </c>
      <c r="AF45" s="10" t="str">
        <f aca="false">IF(G45="","",IF(V45="","(sin responsabilidad)",V45))</f>
        <v/>
      </c>
      <c r="AG45" s="10" t="str">
        <f aca="false">IF(I45="","",IF(W45="","(sin responsabilidad)",W45))</f>
        <v/>
      </c>
      <c r="AH45" s="10" t="str">
        <f aca="false">IF(K45="","",IF(X45="","(sin responsabilidad)",X45))</f>
        <v/>
      </c>
      <c r="AI45" s="10" t="str">
        <f aca="false">IF(M45="","",IF(Y45="","(sin responsabilidad)",Y45))</f>
        <v/>
      </c>
      <c r="AJ45" s="10" t="str">
        <f aca="false">IF(O45="","",IF(Z45="","(sin responsabilidad)",Z45))</f>
        <v/>
      </c>
      <c r="AK45" s="10" t="str">
        <f aca="false">IF(Q45="","",IF(AA45="","(sin responsabilidad)",AA45))</f>
        <v/>
      </c>
      <c r="AN45" s="10" t="str">
        <f aca="false">IF(C45="","",TRIM(IFERROR(LEFT(C45,FIND("(",C45)-1),C45)))</f>
        <v/>
      </c>
      <c r="AO45" s="10" t="str">
        <f aca="false">IF(E45="","",TRIM(IFERROR(LEFT(E45,FIND("(",E45)-1),E45)))</f>
        <v/>
      </c>
      <c r="AP45" s="10" t="str">
        <f aca="false">IF(G45="","",TRIM(IFERROR(LEFT(G45,FIND("(",G45)-1),G45)))</f>
        <v/>
      </c>
      <c r="AQ45" s="10" t="str">
        <f aca="false">IF(I45="","",TRIM(IFERROR(LEFT(I45,FIND("(",I45)-1),I45)))</f>
        <v/>
      </c>
      <c r="AR45" s="10" t="str">
        <f aca="false">IF(K45="","",TRIM(IFERROR(LEFT(K45,FIND("(",K45)-1),K45)))</f>
        <v/>
      </c>
      <c r="AS45" s="10" t="str">
        <f aca="false">IF(M45="","",TRIM(IFERROR(LEFT(M45,FIND("(",M45)-1),M45)))</f>
        <v/>
      </c>
      <c r="AT45" s="10" t="str">
        <f aca="false">IF(O45="","",TRIM(IFERROR(LEFT(O45,FIND("(",O45)-1),O45)))</f>
        <v/>
      </c>
      <c r="AU45" s="10" t="str">
        <f aca="false">IF(Q45="","",TRIM(IFERROR(LEFT(Q45,FIND("(",Q45)-1),Q45)))</f>
        <v/>
      </c>
    </row>
    <row r="46" customFormat="false" ht="15" hidden="false" customHeight="false" outlineLevel="0" collapsed="false">
      <c r="A46" s="14" t="n">
        <v>32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T46" s="10" t="str">
        <f aca="false">IF(B46&lt;&gt;"",TRIM(IFERROR(LEFT(B46,FIND("(",B46)-1),B46)),T45)</f>
        <v>Mobius</v>
      </c>
      <c r="U46" s="10" t="str">
        <f aca="false">IF(D46&lt;&gt;"",TRIM(IFERROR(LEFT(D46,FIND("(",D46)-1),D46)),U45)</f>
        <v>Packing</v>
      </c>
      <c r="V46" s="10" t="str">
        <f aca="false">IF(F46&lt;&gt;"",TRIM(IFERROR(LEFT(F46,FIND("(",F46)-1),F46)),V45)</f>
        <v/>
      </c>
      <c r="W46" s="10" t="str">
        <f aca="false">IF(H46&lt;&gt;"",TRIM(IFERROR(LEFT(H46,FIND("(",H46)-1),H46)),W45)</f>
        <v>Cuartos</v>
      </c>
      <c r="X46" s="10" t="str">
        <f aca="false">IF(J46&lt;&gt;"",TRIM(IFERROR(LEFT(J46,FIND("(",J46)-1),J46)),X45)</f>
        <v>Chofer</v>
      </c>
      <c r="Y46" s="10" t="str">
        <f aca="false">IF(L46&lt;&gt;"",TRIM(IFERROR(LEFT(L46,FIND("(",L46)-1),L46)),Y45)</f>
        <v>Regar</v>
      </c>
      <c r="Z46" s="10" t="str">
        <f aca="false">IF(N46&lt;&gt;"",TRIM(IFERROR(LEFT(N46,FIND("(",N46)-1),N46)),Z45)</f>
        <v>Fresh frozen</v>
      </c>
      <c r="AA46" s="10" t="str">
        <f aca="false">IF(P46&lt;&gt;"",TRIM(IFERROR(LEFT(P46,FIND("(",P46)-1),P46)),AA45)</f>
        <v/>
      </c>
      <c r="AD46" s="10" t="str">
        <f aca="false">IF(C46="","",IF(T46="","(sin responsabilidad)",T46))</f>
        <v/>
      </c>
      <c r="AE46" s="10" t="str">
        <f aca="false">IF(E46="","",IF(U46="","(sin responsabilidad)",U46))</f>
        <v/>
      </c>
      <c r="AF46" s="10" t="str">
        <f aca="false">IF(G46="","",IF(V46="","(sin responsabilidad)",V46))</f>
        <v/>
      </c>
      <c r="AG46" s="10" t="str">
        <f aca="false">IF(I46="","",IF(W46="","(sin responsabilidad)",W46))</f>
        <v/>
      </c>
      <c r="AH46" s="10" t="str">
        <f aca="false">IF(K46="","",IF(X46="","(sin responsabilidad)",X46))</f>
        <v/>
      </c>
      <c r="AI46" s="10" t="str">
        <f aca="false">IF(M46="","",IF(Y46="","(sin responsabilidad)",Y46))</f>
        <v/>
      </c>
      <c r="AJ46" s="10" t="str">
        <f aca="false">IF(O46="","",IF(Z46="","(sin responsabilidad)",Z46))</f>
        <v/>
      </c>
      <c r="AK46" s="10" t="str">
        <f aca="false">IF(Q46="","",IF(AA46="","(sin responsabilidad)",AA46))</f>
        <v/>
      </c>
      <c r="AN46" s="10" t="str">
        <f aca="false">IF(C46="","",TRIM(IFERROR(LEFT(C46,FIND("(",C46)-1),C46)))</f>
        <v/>
      </c>
      <c r="AO46" s="10" t="str">
        <f aca="false">IF(E46="","",TRIM(IFERROR(LEFT(E46,FIND("(",E46)-1),E46)))</f>
        <v/>
      </c>
      <c r="AP46" s="10" t="str">
        <f aca="false">IF(G46="","",TRIM(IFERROR(LEFT(G46,FIND("(",G46)-1),G46)))</f>
        <v/>
      </c>
      <c r="AQ46" s="10" t="str">
        <f aca="false">IF(I46="","",TRIM(IFERROR(LEFT(I46,FIND("(",I46)-1),I46)))</f>
        <v/>
      </c>
      <c r="AR46" s="10" t="str">
        <f aca="false">IF(K46="","",TRIM(IFERROR(LEFT(K46,FIND("(",K46)-1),K46)))</f>
        <v/>
      </c>
      <c r="AS46" s="10" t="str">
        <f aca="false">IF(M46="","",TRIM(IFERROR(LEFT(M46,FIND("(",M46)-1),M46)))</f>
        <v/>
      </c>
      <c r="AT46" s="10" t="str">
        <f aca="false">IF(O46="","",TRIM(IFERROR(LEFT(O46,FIND("(",O46)-1),O46)))</f>
        <v/>
      </c>
      <c r="AU46" s="10" t="str">
        <f aca="false">IF(Q46="","",TRIM(IFERROR(LEFT(Q46,FIND("(",Q46)-1),Q46)))</f>
        <v/>
      </c>
    </row>
    <row r="47" customFormat="false" ht="15" hidden="false" customHeight="false" outlineLevel="0" collapsed="false">
      <c r="A47" s="14" t="n">
        <v>33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T47" s="10" t="str">
        <f aca="false">IF(B47&lt;&gt;"",TRIM(IFERROR(LEFT(B47,FIND("(",B47)-1),B47)),T46)</f>
        <v>Mobius</v>
      </c>
      <c r="U47" s="10" t="str">
        <f aca="false">IF(D47&lt;&gt;"",TRIM(IFERROR(LEFT(D47,FIND("(",D47)-1),D47)),U46)</f>
        <v>Packing</v>
      </c>
      <c r="V47" s="10" t="str">
        <f aca="false">IF(F47&lt;&gt;"",TRIM(IFERROR(LEFT(F47,FIND("(",F47)-1),F47)),V46)</f>
        <v/>
      </c>
      <c r="W47" s="10" t="str">
        <f aca="false">IF(H47&lt;&gt;"",TRIM(IFERROR(LEFT(H47,FIND("(",H47)-1),H47)),W46)</f>
        <v>Cuartos</v>
      </c>
      <c r="X47" s="10" t="str">
        <f aca="false">IF(J47&lt;&gt;"",TRIM(IFERROR(LEFT(J47,FIND("(",J47)-1),J47)),X46)</f>
        <v>Chofer</v>
      </c>
      <c r="Y47" s="10" t="str">
        <f aca="false">IF(L47&lt;&gt;"",TRIM(IFERROR(LEFT(L47,FIND("(",L47)-1),L47)),Y46)</f>
        <v>Regar</v>
      </c>
      <c r="Z47" s="10" t="str">
        <f aca="false">IF(N47&lt;&gt;"",TRIM(IFERROR(LEFT(N47,FIND("(",N47)-1),N47)),Z46)</f>
        <v>Fresh frozen</v>
      </c>
      <c r="AA47" s="10" t="str">
        <f aca="false">IF(P47&lt;&gt;"",TRIM(IFERROR(LEFT(P47,FIND("(",P47)-1),P47)),AA46)</f>
        <v/>
      </c>
      <c r="AD47" s="10" t="str">
        <f aca="false">IF(C47="","",IF(T47="","(sin responsabilidad)",T47))</f>
        <v/>
      </c>
      <c r="AE47" s="10" t="str">
        <f aca="false">IF(E47="","",IF(U47="","(sin responsabilidad)",U47))</f>
        <v/>
      </c>
      <c r="AF47" s="10" t="str">
        <f aca="false">IF(G47="","",IF(V47="","(sin responsabilidad)",V47))</f>
        <v/>
      </c>
      <c r="AG47" s="10" t="str">
        <f aca="false">IF(I47="","",IF(W47="","(sin responsabilidad)",W47))</f>
        <v/>
      </c>
      <c r="AH47" s="10" t="str">
        <f aca="false">IF(K47="","",IF(X47="","(sin responsabilidad)",X47))</f>
        <v/>
      </c>
      <c r="AI47" s="10" t="str">
        <f aca="false">IF(M47="","",IF(Y47="","(sin responsabilidad)",Y47))</f>
        <v/>
      </c>
      <c r="AJ47" s="10" t="str">
        <f aca="false">IF(O47="","",IF(Z47="","(sin responsabilidad)",Z47))</f>
        <v/>
      </c>
      <c r="AK47" s="10" t="str">
        <f aca="false">IF(Q47="","",IF(AA47="","(sin responsabilidad)",AA47))</f>
        <v/>
      </c>
      <c r="AN47" s="10" t="str">
        <f aca="false">IF(C47="","",TRIM(IFERROR(LEFT(C47,FIND("(",C47)-1),C47)))</f>
        <v/>
      </c>
      <c r="AO47" s="10" t="str">
        <f aca="false">IF(E47="","",TRIM(IFERROR(LEFT(E47,FIND("(",E47)-1),E47)))</f>
        <v/>
      </c>
      <c r="AP47" s="10" t="str">
        <f aca="false">IF(G47="","",TRIM(IFERROR(LEFT(G47,FIND("(",G47)-1),G47)))</f>
        <v/>
      </c>
      <c r="AQ47" s="10" t="str">
        <f aca="false">IF(I47="","",TRIM(IFERROR(LEFT(I47,FIND("(",I47)-1),I47)))</f>
        <v/>
      </c>
      <c r="AR47" s="10" t="str">
        <f aca="false">IF(K47="","",TRIM(IFERROR(LEFT(K47,FIND("(",K47)-1),K47)))</f>
        <v/>
      </c>
      <c r="AS47" s="10" t="str">
        <f aca="false">IF(M47="","",TRIM(IFERROR(LEFT(M47,FIND("(",M47)-1),M47)))</f>
        <v/>
      </c>
      <c r="AT47" s="10" t="str">
        <f aca="false">IF(O47="","",TRIM(IFERROR(LEFT(O47,FIND("(",O47)-1),O47)))</f>
        <v/>
      </c>
      <c r="AU47" s="10" t="str">
        <f aca="false">IF(Q47="","",TRIM(IFERROR(LEFT(Q47,FIND("(",Q47)-1),Q47)))</f>
        <v/>
      </c>
    </row>
    <row r="48" customFormat="false" ht="15" hidden="false" customHeight="false" outlineLevel="0" collapsed="false">
      <c r="A48" s="14" t="n">
        <v>34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T48" s="10" t="str">
        <f aca="false">IF(B48&lt;&gt;"",TRIM(IFERROR(LEFT(B48,FIND("(",B48)-1),B48)),T47)</f>
        <v>Mobius</v>
      </c>
      <c r="U48" s="10" t="str">
        <f aca="false">IF(D48&lt;&gt;"",TRIM(IFERROR(LEFT(D48,FIND("(",D48)-1),D48)),U47)</f>
        <v>Packing</v>
      </c>
      <c r="V48" s="10" t="str">
        <f aca="false">IF(F48&lt;&gt;"",TRIM(IFERROR(LEFT(F48,FIND("(",F48)-1),F48)),V47)</f>
        <v/>
      </c>
      <c r="W48" s="10" t="str">
        <f aca="false">IF(H48&lt;&gt;"",TRIM(IFERROR(LEFT(H48,FIND("(",H48)-1),H48)),W47)</f>
        <v>Cuartos</v>
      </c>
      <c r="X48" s="10" t="str">
        <f aca="false">IF(J48&lt;&gt;"",TRIM(IFERROR(LEFT(J48,FIND("(",J48)-1),J48)),X47)</f>
        <v>Chofer</v>
      </c>
      <c r="Y48" s="10" t="str">
        <f aca="false">IF(L48&lt;&gt;"",TRIM(IFERROR(LEFT(L48,FIND("(",L48)-1),L48)),Y47)</f>
        <v>Regar</v>
      </c>
      <c r="Z48" s="10" t="str">
        <f aca="false">IF(N48&lt;&gt;"",TRIM(IFERROR(LEFT(N48,FIND("(",N48)-1),N48)),Z47)</f>
        <v>Fresh frozen</v>
      </c>
      <c r="AA48" s="10" t="str">
        <f aca="false">IF(P48&lt;&gt;"",TRIM(IFERROR(LEFT(P48,FIND("(",P48)-1),P48)),AA47)</f>
        <v/>
      </c>
      <c r="AD48" s="10" t="str">
        <f aca="false">IF(C48="","",IF(T48="","(sin responsabilidad)",T48))</f>
        <v/>
      </c>
      <c r="AE48" s="10" t="str">
        <f aca="false">IF(E48="","",IF(U48="","(sin responsabilidad)",U48))</f>
        <v/>
      </c>
      <c r="AF48" s="10" t="str">
        <f aca="false">IF(G48="","",IF(V48="","(sin responsabilidad)",V48))</f>
        <v/>
      </c>
      <c r="AG48" s="10" t="str">
        <f aca="false">IF(I48="","",IF(W48="","(sin responsabilidad)",W48))</f>
        <v/>
      </c>
      <c r="AH48" s="10" t="str">
        <f aca="false">IF(K48="","",IF(X48="","(sin responsabilidad)",X48))</f>
        <v/>
      </c>
      <c r="AI48" s="10" t="str">
        <f aca="false">IF(M48="","",IF(Y48="","(sin responsabilidad)",Y48))</f>
        <v/>
      </c>
      <c r="AJ48" s="10" t="str">
        <f aca="false">IF(O48="","",IF(Z48="","(sin responsabilidad)",Z48))</f>
        <v/>
      </c>
      <c r="AK48" s="10" t="str">
        <f aca="false">IF(Q48="","",IF(AA48="","(sin responsabilidad)",AA48))</f>
        <v/>
      </c>
      <c r="AN48" s="10" t="str">
        <f aca="false">IF(C48="","",TRIM(IFERROR(LEFT(C48,FIND("(",C48)-1),C48)))</f>
        <v/>
      </c>
      <c r="AO48" s="10" t="str">
        <f aca="false">IF(E48="","",TRIM(IFERROR(LEFT(E48,FIND("(",E48)-1),E48)))</f>
        <v/>
      </c>
      <c r="AP48" s="10" t="str">
        <f aca="false">IF(G48="","",TRIM(IFERROR(LEFT(G48,FIND("(",G48)-1),G48)))</f>
        <v/>
      </c>
      <c r="AQ48" s="10" t="str">
        <f aca="false">IF(I48="","",TRIM(IFERROR(LEFT(I48,FIND("(",I48)-1),I48)))</f>
        <v/>
      </c>
      <c r="AR48" s="10" t="str">
        <f aca="false">IF(K48="","",TRIM(IFERROR(LEFT(K48,FIND("(",K48)-1),K48)))</f>
        <v/>
      </c>
      <c r="AS48" s="10" t="str">
        <f aca="false">IF(M48="","",TRIM(IFERROR(LEFT(M48,FIND("(",M48)-1),M48)))</f>
        <v/>
      </c>
      <c r="AT48" s="10" t="str">
        <f aca="false">IF(O48="","",TRIM(IFERROR(LEFT(O48,FIND("(",O48)-1),O48)))</f>
        <v/>
      </c>
      <c r="AU48" s="10" t="str">
        <f aca="false">IF(Q48="","",TRIM(IFERROR(LEFT(Q48,FIND("(",Q48)-1),Q48)))</f>
        <v/>
      </c>
    </row>
    <row r="49" customFormat="false" ht="15" hidden="false" customHeight="false" outlineLevel="0" collapsed="false">
      <c r="A49" s="14" t="n">
        <v>35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T49" s="10" t="str">
        <f aca="false">IF(B49&lt;&gt;"",TRIM(IFERROR(LEFT(B49,FIND("(",B49)-1),B49)),T48)</f>
        <v>Mobius</v>
      </c>
      <c r="U49" s="10" t="str">
        <f aca="false">IF(D49&lt;&gt;"",TRIM(IFERROR(LEFT(D49,FIND("(",D49)-1),D49)),U48)</f>
        <v>Packing</v>
      </c>
      <c r="V49" s="10" t="str">
        <f aca="false">IF(F49&lt;&gt;"",TRIM(IFERROR(LEFT(F49,FIND("(",F49)-1),F49)),V48)</f>
        <v/>
      </c>
      <c r="W49" s="10" t="str">
        <f aca="false">IF(H49&lt;&gt;"",TRIM(IFERROR(LEFT(H49,FIND("(",H49)-1),H49)),W48)</f>
        <v>Cuartos</v>
      </c>
      <c r="X49" s="10" t="str">
        <f aca="false">IF(J49&lt;&gt;"",TRIM(IFERROR(LEFT(J49,FIND("(",J49)-1),J49)),X48)</f>
        <v>Chofer</v>
      </c>
      <c r="Y49" s="10" t="str">
        <f aca="false">IF(L49&lt;&gt;"",TRIM(IFERROR(LEFT(L49,FIND("(",L49)-1),L49)),Y48)</f>
        <v>Regar</v>
      </c>
      <c r="Z49" s="10" t="str">
        <f aca="false">IF(N49&lt;&gt;"",TRIM(IFERROR(LEFT(N49,FIND("(",N49)-1),N49)),Z48)</f>
        <v>Fresh frozen</v>
      </c>
      <c r="AA49" s="10" t="str">
        <f aca="false">IF(P49&lt;&gt;"",TRIM(IFERROR(LEFT(P49,FIND("(",P49)-1),P49)),AA48)</f>
        <v/>
      </c>
      <c r="AD49" s="10" t="str">
        <f aca="false">IF(C49="","",IF(T49="","(sin responsabilidad)",T49))</f>
        <v/>
      </c>
      <c r="AE49" s="10" t="str">
        <f aca="false">IF(E49="","",IF(U49="","(sin responsabilidad)",U49))</f>
        <v/>
      </c>
      <c r="AF49" s="10" t="str">
        <f aca="false">IF(G49="","",IF(V49="","(sin responsabilidad)",V49))</f>
        <v/>
      </c>
      <c r="AG49" s="10" t="str">
        <f aca="false">IF(I49="","",IF(W49="","(sin responsabilidad)",W49))</f>
        <v/>
      </c>
      <c r="AH49" s="10" t="str">
        <f aca="false">IF(K49="","",IF(X49="","(sin responsabilidad)",X49))</f>
        <v/>
      </c>
      <c r="AI49" s="10" t="str">
        <f aca="false">IF(M49="","",IF(Y49="","(sin responsabilidad)",Y49))</f>
        <v/>
      </c>
      <c r="AJ49" s="10" t="str">
        <f aca="false">IF(O49="","",IF(Z49="","(sin responsabilidad)",Z49))</f>
        <v/>
      </c>
      <c r="AK49" s="10" t="str">
        <f aca="false">IF(Q49="","",IF(AA49="","(sin responsabilidad)",AA49))</f>
        <v/>
      </c>
      <c r="AN49" s="10" t="str">
        <f aca="false">IF(C49="","",TRIM(IFERROR(LEFT(C49,FIND("(",C49)-1),C49)))</f>
        <v/>
      </c>
      <c r="AO49" s="10" t="str">
        <f aca="false">IF(E49="","",TRIM(IFERROR(LEFT(E49,FIND("(",E49)-1),E49)))</f>
        <v/>
      </c>
      <c r="AP49" s="10" t="str">
        <f aca="false">IF(G49="","",TRIM(IFERROR(LEFT(G49,FIND("(",G49)-1),G49)))</f>
        <v/>
      </c>
      <c r="AQ49" s="10" t="str">
        <f aca="false">IF(I49="","",TRIM(IFERROR(LEFT(I49,FIND("(",I49)-1),I49)))</f>
        <v/>
      </c>
      <c r="AR49" s="10" t="str">
        <f aca="false">IF(K49="","",TRIM(IFERROR(LEFT(K49,FIND("(",K49)-1),K49)))</f>
        <v/>
      </c>
      <c r="AS49" s="10" t="str">
        <f aca="false">IF(M49="","",TRIM(IFERROR(LEFT(M49,FIND("(",M49)-1),M49)))</f>
        <v/>
      </c>
      <c r="AT49" s="10" t="str">
        <f aca="false">IF(O49="","",TRIM(IFERROR(LEFT(O49,FIND("(",O49)-1),O49)))</f>
        <v/>
      </c>
      <c r="AU49" s="10" t="str">
        <f aca="false">IF(Q49="","",TRIM(IFERROR(LEFT(Q49,FIND("(",Q49)-1),Q49)))</f>
        <v/>
      </c>
    </row>
    <row r="50" customFormat="false" ht="15" hidden="false" customHeight="false" outlineLevel="0" collapsed="false">
      <c r="A50" s="14" t="n">
        <v>36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T50" s="10" t="str">
        <f aca="false">IF(B50&lt;&gt;"",TRIM(IFERROR(LEFT(B50,FIND("(",B50)-1),B50)),T49)</f>
        <v>Mobius</v>
      </c>
      <c r="U50" s="10" t="str">
        <f aca="false">IF(D50&lt;&gt;"",TRIM(IFERROR(LEFT(D50,FIND("(",D50)-1),D50)),U49)</f>
        <v>Packing</v>
      </c>
      <c r="V50" s="10" t="str">
        <f aca="false">IF(F50&lt;&gt;"",TRIM(IFERROR(LEFT(F50,FIND("(",F50)-1),F50)),V49)</f>
        <v/>
      </c>
      <c r="W50" s="10" t="str">
        <f aca="false">IF(H50&lt;&gt;"",TRIM(IFERROR(LEFT(H50,FIND("(",H50)-1),H50)),W49)</f>
        <v>Cuartos</v>
      </c>
      <c r="X50" s="10" t="str">
        <f aca="false">IF(J50&lt;&gt;"",TRIM(IFERROR(LEFT(J50,FIND("(",J50)-1),J50)),X49)</f>
        <v>Chofer</v>
      </c>
      <c r="Y50" s="10" t="str">
        <f aca="false">IF(L50&lt;&gt;"",TRIM(IFERROR(LEFT(L50,FIND("(",L50)-1),L50)),Y49)</f>
        <v>Regar</v>
      </c>
      <c r="Z50" s="10" t="str">
        <f aca="false">IF(N50&lt;&gt;"",TRIM(IFERROR(LEFT(N50,FIND("(",N50)-1),N50)),Z49)</f>
        <v>Fresh frozen</v>
      </c>
      <c r="AA50" s="10" t="str">
        <f aca="false">IF(P50&lt;&gt;"",TRIM(IFERROR(LEFT(P50,FIND("(",P50)-1),P50)),AA49)</f>
        <v/>
      </c>
      <c r="AD50" s="10" t="str">
        <f aca="false">IF(C50="","",IF(T50="","(sin responsabilidad)",T50))</f>
        <v/>
      </c>
      <c r="AE50" s="10" t="str">
        <f aca="false">IF(E50="","",IF(U50="","(sin responsabilidad)",U50))</f>
        <v/>
      </c>
      <c r="AF50" s="10" t="str">
        <f aca="false">IF(G50="","",IF(V50="","(sin responsabilidad)",V50))</f>
        <v/>
      </c>
      <c r="AG50" s="10" t="str">
        <f aca="false">IF(I50="","",IF(W50="","(sin responsabilidad)",W50))</f>
        <v/>
      </c>
      <c r="AH50" s="10" t="str">
        <f aca="false">IF(K50="","",IF(X50="","(sin responsabilidad)",X50))</f>
        <v/>
      </c>
      <c r="AI50" s="10" t="str">
        <f aca="false">IF(M50="","",IF(Y50="","(sin responsabilidad)",Y50))</f>
        <v/>
      </c>
      <c r="AJ50" s="10" t="str">
        <f aca="false">IF(O50="","",IF(Z50="","(sin responsabilidad)",Z50))</f>
        <v/>
      </c>
      <c r="AK50" s="10" t="str">
        <f aca="false">IF(Q50="","",IF(AA50="","(sin responsabilidad)",AA50))</f>
        <v/>
      </c>
      <c r="AN50" s="10" t="str">
        <f aca="false">IF(C50="","",TRIM(IFERROR(LEFT(C50,FIND("(",C50)-1),C50)))</f>
        <v/>
      </c>
      <c r="AO50" s="10" t="str">
        <f aca="false">IF(E50="","",TRIM(IFERROR(LEFT(E50,FIND("(",E50)-1),E50)))</f>
        <v/>
      </c>
      <c r="AP50" s="10" t="str">
        <f aca="false">IF(G50="","",TRIM(IFERROR(LEFT(G50,FIND("(",G50)-1),G50)))</f>
        <v/>
      </c>
      <c r="AQ50" s="10" t="str">
        <f aca="false">IF(I50="","",TRIM(IFERROR(LEFT(I50,FIND("(",I50)-1),I50)))</f>
        <v/>
      </c>
      <c r="AR50" s="10" t="str">
        <f aca="false">IF(K50="","",TRIM(IFERROR(LEFT(K50,FIND("(",K50)-1),K50)))</f>
        <v/>
      </c>
      <c r="AS50" s="10" t="str">
        <f aca="false">IF(M50="","",TRIM(IFERROR(LEFT(M50,FIND("(",M50)-1),M50)))</f>
        <v/>
      </c>
      <c r="AT50" s="10" t="str">
        <f aca="false">IF(O50="","",TRIM(IFERROR(LEFT(O50,FIND("(",O50)-1),O50)))</f>
        <v/>
      </c>
      <c r="AU50" s="10" t="str">
        <f aca="false">IF(Q50="","",TRIM(IFERROR(LEFT(Q50,FIND("(",Q50)-1),Q50)))</f>
        <v/>
      </c>
    </row>
    <row r="51" customFormat="false" ht="15" hidden="false" customHeight="false" outlineLevel="0" collapsed="false">
      <c r="A51" s="14" t="n">
        <v>37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T51" s="10" t="str">
        <f aca="false">IF(B51&lt;&gt;"",TRIM(IFERROR(LEFT(B51,FIND("(",B51)-1),B51)),T50)</f>
        <v>Mobius</v>
      </c>
      <c r="U51" s="10" t="str">
        <f aca="false">IF(D51&lt;&gt;"",TRIM(IFERROR(LEFT(D51,FIND("(",D51)-1),D51)),U50)</f>
        <v>Packing</v>
      </c>
      <c r="V51" s="10" t="str">
        <f aca="false">IF(F51&lt;&gt;"",TRIM(IFERROR(LEFT(F51,FIND("(",F51)-1),F51)),V50)</f>
        <v/>
      </c>
      <c r="W51" s="10" t="str">
        <f aca="false">IF(H51&lt;&gt;"",TRIM(IFERROR(LEFT(H51,FIND("(",H51)-1),H51)),W50)</f>
        <v>Cuartos</v>
      </c>
      <c r="X51" s="10" t="str">
        <f aca="false">IF(J51&lt;&gt;"",TRIM(IFERROR(LEFT(J51,FIND("(",J51)-1),J51)),X50)</f>
        <v>Chofer</v>
      </c>
      <c r="Y51" s="10" t="str">
        <f aca="false">IF(L51&lt;&gt;"",TRIM(IFERROR(LEFT(L51,FIND("(",L51)-1),L51)),Y50)</f>
        <v>Regar</v>
      </c>
      <c r="Z51" s="10" t="str">
        <f aca="false">IF(N51&lt;&gt;"",TRIM(IFERROR(LEFT(N51,FIND("(",N51)-1),N51)),Z50)</f>
        <v>Fresh frozen</v>
      </c>
      <c r="AA51" s="10" t="str">
        <f aca="false">IF(P51&lt;&gt;"",TRIM(IFERROR(LEFT(P51,FIND("(",P51)-1),P51)),AA50)</f>
        <v/>
      </c>
      <c r="AD51" s="10" t="str">
        <f aca="false">IF(C51="","",IF(T51="","(sin responsabilidad)",T51))</f>
        <v/>
      </c>
      <c r="AE51" s="10" t="str">
        <f aca="false">IF(E51="","",IF(U51="","(sin responsabilidad)",U51))</f>
        <v/>
      </c>
      <c r="AF51" s="10" t="str">
        <f aca="false">IF(G51="","",IF(V51="","(sin responsabilidad)",V51))</f>
        <v/>
      </c>
      <c r="AG51" s="10" t="str">
        <f aca="false">IF(I51="","",IF(W51="","(sin responsabilidad)",W51))</f>
        <v/>
      </c>
      <c r="AH51" s="10" t="str">
        <f aca="false">IF(K51="","",IF(X51="","(sin responsabilidad)",X51))</f>
        <v/>
      </c>
      <c r="AI51" s="10" t="str">
        <f aca="false">IF(M51="","",IF(Y51="","(sin responsabilidad)",Y51))</f>
        <v/>
      </c>
      <c r="AJ51" s="10" t="str">
        <f aca="false">IF(O51="","",IF(Z51="","(sin responsabilidad)",Z51))</f>
        <v/>
      </c>
      <c r="AK51" s="10" t="str">
        <f aca="false">IF(Q51="","",IF(AA51="","(sin responsabilidad)",AA51))</f>
        <v/>
      </c>
      <c r="AN51" s="10" t="str">
        <f aca="false">IF(C51="","",TRIM(IFERROR(LEFT(C51,FIND("(",C51)-1),C51)))</f>
        <v/>
      </c>
      <c r="AO51" s="10" t="str">
        <f aca="false">IF(E51="","",TRIM(IFERROR(LEFT(E51,FIND("(",E51)-1),E51)))</f>
        <v/>
      </c>
      <c r="AP51" s="10" t="str">
        <f aca="false">IF(G51="","",TRIM(IFERROR(LEFT(G51,FIND("(",G51)-1),G51)))</f>
        <v/>
      </c>
      <c r="AQ51" s="10" t="str">
        <f aca="false">IF(I51="","",TRIM(IFERROR(LEFT(I51,FIND("(",I51)-1),I51)))</f>
        <v/>
      </c>
      <c r="AR51" s="10" t="str">
        <f aca="false">IF(K51="","",TRIM(IFERROR(LEFT(K51,FIND("(",K51)-1),K51)))</f>
        <v/>
      </c>
      <c r="AS51" s="10" t="str">
        <f aca="false">IF(M51="","",TRIM(IFERROR(LEFT(M51,FIND("(",M51)-1),M51)))</f>
        <v/>
      </c>
      <c r="AT51" s="10" t="str">
        <f aca="false">IF(O51="","",TRIM(IFERROR(LEFT(O51,FIND("(",O51)-1),O51)))</f>
        <v/>
      </c>
      <c r="AU51" s="10" t="str">
        <f aca="false">IF(Q51="","",TRIM(IFERROR(LEFT(Q51,FIND("(",Q51)-1),Q51)))</f>
        <v/>
      </c>
    </row>
    <row r="52" customFormat="false" ht="15" hidden="false" customHeight="false" outlineLevel="0" collapsed="false">
      <c r="A52" s="14" t="n">
        <v>38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T52" s="10" t="str">
        <f aca="false">IF(B52&lt;&gt;"",TRIM(IFERROR(LEFT(B52,FIND("(",B52)-1),B52)),T51)</f>
        <v>Mobius</v>
      </c>
      <c r="U52" s="10" t="str">
        <f aca="false">IF(D52&lt;&gt;"",TRIM(IFERROR(LEFT(D52,FIND("(",D52)-1),D52)),U51)</f>
        <v>Packing</v>
      </c>
      <c r="V52" s="10" t="str">
        <f aca="false">IF(F52&lt;&gt;"",TRIM(IFERROR(LEFT(F52,FIND("(",F52)-1),F52)),V51)</f>
        <v/>
      </c>
      <c r="W52" s="10" t="str">
        <f aca="false">IF(H52&lt;&gt;"",TRIM(IFERROR(LEFT(H52,FIND("(",H52)-1),H52)),W51)</f>
        <v>Cuartos</v>
      </c>
      <c r="X52" s="10" t="str">
        <f aca="false">IF(J52&lt;&gt;"",TRIM(IFERROR(LEFT(J52,FIND("(",J52)-1),J52)),X51)</f>
        <v>Chofer</v>
      </c>
      <c r="Y52" s="10" t="str">
        <f aca="false">IF(L52&lt;&gt;"",TRIM(IFERROR(LEFT(L52,FIND("(",L52)-1),L52)),Y51)</f>
        <v>Regar</v>
      </c>
      <c r="Z52" s="10" t="str">
        <f aca="false">IF(N52&lt;&gt;"",TRIM(IFERROR(LEFT(N52,FIND("(",N52)-1),N52)),Z51)</f>
        <v>Fresh frozen</v>
      </c>
      <c r="AA52" s="10" t="str">
        <f aca="false">IF(P52&lt;&gt;"",TRIM(IFERROR(LEFT(P52,FIND("(",P52)-1),P52)),AA51)</f>
        <v/>
      </c>
      <c r="AD52" s="10" t="str">
        <f aca="false">IF(C52="","",IF(T52="","(sin responsabilidad)",T52))</f>
        <v/>
      </c>
      <c r="AE52" s="10" t="str">
        <f aca="false">IF(E52="","",IF(U52="","(sin responsabilidad)",U52))</f>
        <v/>
      </c>
      <c r="AF52" s="10" t="str">
        <f aca="false">IF(G52="","",IF(V52="","(sin responsabilidad)",V52))</f>
        <v/>
      </c>
      <c r="AG52" s="10" t="str">
        <f aca="false">IF(I52="","",IF(W52="","(sin responsabilidad)",W52))</f>
        <v/>
      </c>
      <c r="AH52" s="10" t="str">
        <f aca="false">IF(K52="","",IF(X52="","(sin responsabilidad)",X52))</f>
        <v/>
      </c>
      <c r="AI52" s="10" t="str">
        <f aca="false">IF(M52="","",IF(Y52="","(sin responsabilidad)",Y52))</f>
        <v/>
      </c>
      <c r="AJ52" s="10" t="str">
        <f aca="false">IF(O52="","",IF(Z52="","(sin responsabilidad)",Z52))</f>
        <v/>
      </c>
      <c r="AK52" s="10" t="str">
        <f aca="false">IF(Q52="","",IF(AA52="","(sin responsabilidad)",AA52))</f>
        <v/>
      </c>
      <c r="AN52" s="10" t="str">
        <f aca="false">IF(C52="","",TRIM(IFERROR(LEFT(C52,FIND("(",C52)-1),C52)))</f>
        <v/>
      </c>
      <c r="AO52" s="10" t="str">
        <f aca="false">IF(E52="","",TRIM(IFERROR(LEFT(E52,FIND("(",E52)-1),E52)))</f>
        <v/>
      </c>
      <c r="AP52" s="10" t="str">
        <f aca="false">IF(G52="","",TRIM(IFERROR(LEFT(G52,FIND("(",G52)-1),G52)))</f>
        <v/>
      </c>
      <c r="AQ52" s="10" t="str">
        <f aca="false">IF(I52="","",TRIM(IFERROR(LEFT(I52,FIND("(",I52)-1),I52)))</f>
        <v/>
      </c>
      <c r="AR52" s="10" t="str">
        <f aca="false">IF(K52="","",TRIM(IFERROR(LEFT(K52,FIND("(",K52)-1),K52)))</f>
        <v/>
      </c>
      <c r="AS52" s="10" t="str">
        <f aca="false">IF(M52="","",TRIM(IFERROR(LEFT(M52,FIND("(",M52)-1),M52)))</f>
        <v/>
      </c>
      <c r="AT52" s="10" t="str">
        <f aca="false">IF(O52="","",TRIM(IFERROR(LEFT(O52,FIND("(",O52)-1),O52)))</f>
        <v/>
      </c>
      <c r="AU52" s="10" t="str">
        <f aca="false">IF(Q52="","",TRIM(IFERROR(LEFT(Q52,FIND("(",Q52)-1),Q52)))</f>
        <v/>
      </c>
    </row>
    <row r="53" customFormat="false" ht="15" hidden="false" customHeight="false" outlineLevel="0" collapsed="false">
      <c r="A53" s="14" t="n">
        <v>39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T53" s="10" t="str">
        <f aca="false">IF(B53&lt;&gt;"",TRIM(IFERROR(LEFT(B53,FIND("(",B53)-1),B53)),T52)</f>
        <v>Mobius</v>
      </c>
      <c r="U53" s="10" t="str">
        <f aca="false">IF(D53&lt;&gt;"",TRIM(IFERROR(LEFT(D53,FIND("(",D53)-1),D53)),U52)</f>
        <v>Packing</v>
      </c>
      <c r="V53" s="10" t="str">
        <f aca="false">IF(F53&lt;&gt;"",TRIM(IFERROR(LEFT(F53,FIND("(",F53)-1),F53)),V52)</f>
        <v/>
      </c>
      <c r="W53" s="10" t="str">
        <f aca="false">IF(H53&lt;&gt;"",TRIM(IFERROR(LEFT(H53,FIND("(",H53)-1),H53)),W52)</f>
        <v>Cuartos</v>
      </c>
      <c r="X53" s="10" t="str">
        <f aca="false">IF(J53&lt;&gt;"",TRIM(IFERROR(LEFT(J53,FIND("(",J53)-1),J53)),X52)</f>
        <v>Chofer</v>
      </c>
      <c r="Y53" s="10" t="str">
        <f aca="false">IF(L53&lt;&gt;"",TRIM(IFERROR(LEFT(L53,FIND("(",L53)-1),L53)),Y52)</f>
        <v>Regar</v>
      </c>
      <c r="Z53" s="10" t="str">
        <f aca="false">IF(N53&lt;&gt;"",TRIM(IFERROR(LEFT(N53,FIND("(",N53)-1),N53)),Z52)</f>
        <v>Fresh frozen</v>
      </c>
      <c r="AA53" s="10" t="str">
        <f aca="false">IF(P53&lt;&gt;"",TRIM(IFERROR(LEFT(P53,FIND("(",P53)-1),P53)),AA52)</f>
        <v/>
      </c>
      <c r="AD53" s="10" t="str">
        <f aca="false">IF(C53="","",IF(T53="","(sin responsabilidad)",T53))</f>
        <v/>
      </c>
      <c r="AE53" s="10" t="str">
        <f aca="false">IF(E53="","",IF(U53="","(sin responsabilidad)",U53))</f>
        <v/>
      </c>
      <c r="AF53" s="10" t="str">
        <f aca="false">IF(G53="","",IF(V53="","(sin responsabilidad)",V53))</f>
        <v/>
      </c>
      <c r="AG53" s="10" t="str">
        <f aca="false">IF(I53="","",IF(W53="","(sin responsabilidad)",W53))</f>
        <v/>
      </c>
      <c r="AH53" s="10" t="str">
        <f aca="false">IF(K53="","",IF(X53="","(sin responsabilidad)",X53))</f>
        <v/>
      </c>
      <c r="AI53" s="10" t="str">
        <f aca="false">IF(M53="","",IF(Y53="","(sin responsabilidad)",Y53))</f>
        <v/>
      </c>
      <c r="AJ53" s="10" t="str">
        <f aca="false">IF(O53="","",IF(Z53="","(sin responsabilidad)",Z53))</f>
        <v/>
      </c>
      <c r="AK53" s="10" t="str">
        <f aca="false">IF(Q53="","",IF(AA53="","(sin responsabilidad)",AA53))</f>
        <v/>
      </c>
      <c r="AN53" s="10" t="str">
        <f aca="false">IF(C53="","",TRIM(IFERROR(LEFT(C53,FIND("(",C53)-1),C53)))</f>
        <v/>
      </c>
      <c r="AO53" s="10" t="str">
        <f aca="false">IF(E53="","",TRIM(IFERROR(LEFT(E53,FIND("(",E53)-1),E53)))</f>
        <v/>
      </c>
      <c r="AP53" s="10" t="str">
        <f aca="false">IF(G53="","",TRIM(IFERROR(LEFT(G53,FIND("(",G53)-1),G53)))</f>
        <v/>
      </c>
      <c r="AQ53" s="10" t="str">
        <f aca="false">IF(I53="","",TRIM(IFERROR(LEFT(I53,FIND("(",I53)-1),I53)))</f>
        <v/>
      </c>
      <c r="AR53" s="10" t="str">
        <f aca="false">IF(K53="","",TRIM(IFERROR(LEFT(K53,FIND("(",K53)-1),K53)))</f>
        <v/>
      </c>
      <c r="AS53" s="10" t="str">
        <f aca="false">IF(M53="","",TRIM(IFERROR(LEFT(M53,FIND("(",M53)-1),M53)))</f>
        <v/>
      </c>
      <c r="AT53" s="10" t="str">
        <f aca="false">IF(O53="","",TRIM(IFERROR(LEFT(O53,FIND("(",O53)-1),O53)))</f>
        <v/>
      </c>
      <c r="AU53" s="10" t="str">
        <f aca="false">IF(Q53="","",TRIM(IFERROR(LEFT(Q53,FIND("(",Q53)-1),Q53)))</f>
        <v/>
      </c>
    </row>
    <row r="54" customFormat="false" ht="15" hidden="false" customHeight="false" outlineLevel="0" collapsed="false">
      <c r="A54" s="14" t="n">
        <v>40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T54" s="10" t="str">
        <f aca="false">IF(B54&lt;&gt;"",TRIM(IFERROR(LEFT(B54,FIND("(",B54)-1),B54)),T53)</f>
        <v>Mobius</v>
      </c>
      <c r="U54" s="10" t="str">
        <f aca="false">IF(D54&lt;&gt;"",TRIM(IFERROR(LEFT(D54,FIND("(",D54)-1),D54)),U53)</f>
        <v>Packing</v>
      </c>
      <c r="V54" s="10" t="str">
        <f aca="false">IF(F54&lt;&gt;"",TRIM(IFERROR(LEFT(F54,FIND("(",F54)-1),F54)),V53)</f>
        <v/>
      </c>
      <c r="W54" s="10" t="str">
        <f aca="false">IF(H54&lt;&gt;"",TRIM(IFERROR(LEFT(H54,FIND("(",H54)-1),H54)),W53)</f>
        <v>Cuartos</v>
      </c>
      <c r="X54" s="10" t="str">
        <f aca="false">IF(J54&lt;&gt;"",TRIM(IFERROR(LEFT(J54,FIND("(",J54)-1),J54)),X53)</f>
        <v>Chofer</v>
      </c>
      <c r="Y54" s="10" t="str">
        <f aca="false">IF(L54&lt;&gt;"",TRIM(IFERROR(LEFT(L54,FIND("(",L54)-1),L54)),Y53)</f>
        <v>Regar</v>
      </c>
      <c r="Z54" s="10" t="str">
        <f aca="false">IF(N54&lt;&gt;"",TRIM(IFERROR(LEFT(N54,FIND("(",N54)-1),N54)),Z53)</f>
        <v>Fresh frozen</v>
      </c>
      <c r="AA54" s="10" t="str">
        <f aca="false">IF(P54&lt;&gt;"",TRIM(IFERROR(LEFT(P54,FIND("(",P54)-1),P54)),AA53)</f>
        <v/>
      </c>
      <c r="AD54" s="10" t="str">
        <f aca="false">IF(C54="","",IF(T54="","(sin responsabilidad)",T54))</f>
        <v/>
      </c>
      <c r="AE54" s="10" t="str">
        <f aca="false">IF(E54="","",IF(U54="","(sin responsabilidad)",U54))</f>
        <v/>
      </c>
      <c r="AF54" s="10" t="str">
        <f aca="false">IF(G54="","",IF(V54="","(sin responsabilidad)",V54))</f>
        <v/>
      </c>
      <c r="AG54" s="10" t="str">
        <f aca="false">IF(I54="","",IF(W54="","(sin responsabilidad)",W54))</f>
        <v/>
      </c>
      <c r="AH54" s="10" t="str">
        <f aca="false">IF(K54="","",IF(X54="","(sin responsabilidad)",X54))</f>
        <v/>
      </c>
      <c r="AI54" s="10" t="str">
        <f aca="false">IF(M54="","",IF(Y54="","(sin responsabilidad)",Y54))</f>
        <v/>
      </c>
      <c r="AJ54" s="10" t="str">
        <f aca="false">IF(O54="","",IF(Z54="","(sin responsabilidad)",Z54))</f>
        <v/>
      </c>
      <c r="AK54" s="10" t="str">
        <f aca="false">IF(Q54="","",IF(AA54="","(sin responsabilidad)",AA54))</f>
        <v/>
      </c>
      <c r="AN54" s="10" t="str">
        <f aca="false">IF(C54="","",TRIM(IFERROR(LEFT(C54,FIND("(",C54)-1),C54)))</f>
        <v/>
      </c>
      <c r="AO54" s="10" t="str">
        <f aca="false">IF(E54="","",TRIM(IFERROR(LEFT(E54,FIND("(",E54)-1),E54)))</f>
        <v/>
      </c>
      <c r="AP54" s="10" t="str">
        <f aca="false">IF(G54="","",TRIM(IFERROR(LEFT(G54,FIND("(",G54)-1),G54)))</f>
        <v/>
      </c>
      <c r="AQ54" s="10" t="str">
        <f aca="false">IF(I54="","",TRIM(IFERROR(LEFT(I54,FIND("(",I54)-1),I54)))</f>
        <v/>
      </c>
      <c r="AR54" s="10" t="str">
        <f aca="false">IF(K54="","",TRIM(IFERROR(LEFT(K54,FIND("(",K54)-1),K54)))</f>
        <v/>
      </c>
      <c r="AS54" s="10" t="str">
        <f aca="false">IF(M54="","",TRIM(IFERROR(LEFT(M54,FIND("(",M54)-1),M54)))</f>
        <v/>
      </c>
      <c r="AT54" s="10" t="str">
        <f aca="false">IF(O54="","",TRIM(IFERROR(LEFT(O54,FIND("(",O54)-1),O54)))</f>
        <v/>
      </c>
      <c r="AU54" s="10" t="str">
        <f aca="false">IF(Q54="","",TRIM(IFERROR(LEFT(Q54,FIND("(",Q54)-1),Q54)))</f>
        <v/>
      </c>
    </row>
    <row r="55" customFormat="false" ht="15" hidden="false" customHeight="false" outlineLevel="0" collapsed="false">
      <c r="A55" s="14" t="n">
        <v>41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T55" s="10" t="str">
        <f aca="false">IF(B55&lt;&gt;"",TRIM(IFERROR(LEFT(B55,FIND("(",B55)-1),B55)),T54)</f>
        <v>Mobius</v>
      </c>
      <c r="U55" s="10" t="str">
        <f aca="false">IF(D55&lt;&gt;"",TRIM(IFERROR(LEFT(D55,FIND("(",D55)-1),D55)),U54)</f>
        <v>Packing</v>
      </c>
      <c r="V55" s="10" t="str">
        <f aca="false">IF(F55&lt;&gt;"",TRIM(IFERROR(LEFT(F55,FIND("(",F55)-1),F55)),V54)</f>
        <v/>
      </c>
      <c r="W55" s="10" t="str">
        <f aca="false">IF(H55&lt;&gt;"",TRIM(IFERROR(LEFT(H55,FIND("(",H55)-1),H55)),W54)</f>
        <v>Cuartos</v>
      </c>
      <c r="X55" s="10" t="str">
        <f aca="false">IF(J55&lt;&gt;"",TRIM(IFERROR(LEFT(J55,FIND("(",J55)-1),J55)),X54)</f>
        <v>Chofer</v>
      </c>
      <c r="Y55" s="10" t="str">
        <f aca="false">IF(L55&lt;&gt;"",TRIM(IFERROR(LEFT(L55,FIND("(",L55)-1),L55)),Y54)</f>
        <v>Regar</v>
      </c>
      <c r="Z55" s="10" t="str">
        <f aca="false">IF(N55&lt;&gt;"",TRIM(IFERROR(LEFT(N55,FIND("(",N55)-1),N55)),Z54)</f>
        <v>Fresh frozen</v>
      </c>
      <c r="AA55" s="10" t="str">
        <f aca="false">IF(P55&lt;&gt;"",TRIM(IFERROR(LEFT(P55,FIND("(",P55)-1),P55)),AA54)</f>
        <v/>
      </c>
      <c r="AD55" s="10" t="str">
        <f aca="false">IF(C55="","",IF(T55="","(sin responsabilidad)",T55))</f>
        <v/>
      </c>
      <c r="AE55" s="10" t="str">
        <f aca="false">IF(E55="","",IF(U55="","(sin responsabilidad)",U55))</f>
        <v/>
      </c>
      <c r="AF55" s="10" t="str">
        <f aca="false">IF(G55="","",IF(V55="","(sin responsabilidad)",V55))</f>
        <v/>
      </c>
      <c r="AG55" s="10" t="str">
        <f aca="false">IF(I55="","",IF(W55="","(sin responsabilidad)",W55))</f>
        <v/>
      </c>
      <c r="AH55" s="10" t="str">
        <f aca="false">IF(K55="","",IF(X55="","(sin responsabilidad)",X55))</f>
        <v/>
      </c>
      <c r="AI55" s="10" t="str">
        <f aca="false">IF(M55="","",IF(Y55="","(sin responsabilidad)",Y55))</f>
        <v/>
      </c>
      <c r="AJ55" s="10" t="str">
        <f aca="false">IF(O55="","",IF(Z55="","(sin responsabilidad)",Z55))</f>
        <v/>
      </c>
      <c r="AK55" s="10" t="str">
        <f aca="false">IF(Q55="","",IF(AA55="","(sin responsabilidad)",AA55))</f>
        <v/>
      </c>
      <c r="AN55" s="10" t="str">
        <f aca="false">IF(C55="","",TRIM(IFERROR(LEFT(C55,FIND("(",C55)-1),C55)))</f>
        <v/>
      </c>
      <c r="AO55" s="10" t="str">
        <f aca="false">IF(E55="","",TRIM(IFERROR(LEFT(E55,FIND("(",E55)-1),E55)))</f>
        <v/>
      </c>
      <c r="AP55" s="10" t="str">
        <f aca="false">IF(G55="","",TRIM(IFERROR(LEFT(G55,FIND("(",G55)-1),G55)))</f>
        <v/>
      </c>
      <c r="AQ55" s="10" t="str">
        <f aca="false">IF(I55="","",TRIM(IFERROR(LEFT(I55,FIND("(",I55)-1),I55)))</f>
        <v/>
      </c>
      <c r="AR55" s="10" t="str">
        <f aca="false">IF(K55="","",TRIM(IFERROR(LEFT(K55,FIND("(",K55)-1),K55)))</f>
        <v/>
      </c>
      <c r="AS55" s="10" t="str">
        <f aca="false">IF(M55="","",TRIM(IFERROR(LEFT(M55,FIND("(",M55)-1),M55)))</f>
        <v/>
      </c>
      <c r="AT55" s="10" t="str">
        <f aca="false">IF(O55="","",TRIM(IFERROR(LEFT(O55,FIND("(",O55)-1),O55)))</f>
        <v/>
      </c>
      <c r="AU55" s="10" t="str">
        <f aca="false">IF(Q55="","",TRIM(IFERROR(LEFT(Q55,FIND("(",Q55)-1),Q55)))</f>
        <v/>
      </c>
    </row>
    <row r="56" customFormat="false" ht="15" hidden="false" customHeight="false" outlineLevel="0" collapsed="false">
      <c r="A56" s="14" t="n">
        <v>42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T56" s="10" t="str">
        <f aca="false">IF(B56&lt;&gt;"",TRIM(IFERROR(LEFT(B56,FIND("(",B56)-1),B56)),T55)</f>
        <v>Mobius</v>
      </c>
      <c r="U56" s="10" t="str">
        <f aca="false">IF(D56&lt;&gt;"",TRIM(IFERROR(LEFT(D56,FIND("(",D56)-1),D56)),U55)</f>
        <v>Packing</v>
      </c>
      <c r="V56" s="10" t="str">
        <f aca="false">IF(F56&lt;&gt;"",TRIM(IFERROR(LEFT(F56,FIND("(",F56)-1),F56)),V55)</f>
        <v/>
      </c>
      <c r="W56" s="10" t="str">
        <f aca="false">IF(H56&lt;&gt;"",TRIM(IFERROR(LEFT(H56,FIND("(",H56)-1),H56)),W55)</f>
        <v>Cuartos</v>
      </c>
      <c r="X56" s="10" t="str">
        <f aca="false">IF(J56&lt;&gt;"",TRIM(IFERROR(LEFT(J56,FIND("(",J56)-1),J56)),X55)</f>
        <v>Chofer</v>
      </c>
      <c r="Y56" s="10" t="str">
        <f aca="false">IF(L56&lt;&gt;"",TRIM(IFERROR(LEFT(L56,FIND("(",L56)-1),L56)),Y55)</f>
        <v>Regar</v>
      </c>
      <c r="Z56" s="10" t="str">
        <f aca="false">IF(N56&lt;&gt;"",TRIM(IFERROR(LEFT(N56,FIND("(",N56)-1),N56)),Z55)</f>
        <v>Fresh frozen</v>
      </c>
      <c r="AA56" s="10" t="str">
        <f aca="false">IF(P56&lt;&gt;"",TRIM(IFERROR(LEFT(P56,FIND("(",P56)-1),P56)),AA55)</f>
        <v/>
      </c>
      <c r="AD56" s="10" t="str">
        <f aca="false">IF(C56="","",IF(T56="","(sin responsabilidad)",T56))</f>
        <v/>
      </c>
      <c r="AE56" s="10" t="str">
        <f aca="false">IF(E56="","",IF(U56="","(sin responsabilidad)",U56))</f>
        <v/>
      </c>
      <c r="AF56" s="10" t="str">
        <f aca="false">IF(G56="","",IF(V56="","(sin responsabilidad)",V56))</f>
        <v/>
      </c>
      <c r="AG56" s="10" t="str">
        <f aca="false">IF(I56="","",IF(W56="","(sin responsabilidad)",W56))</f>
        <v/>
      </c>
      <c r="AH56" s="10" t="str">
        <f aca="false">IF(K56="","",IF(X56="","(sin responsabilidad)",X56))</f>
        <v/>
      </c>
      <c r="AI56" s="10" t="str">
        <f aca="false">IF(M56="","",IF(Y56="","(sin responsabilidad)",Y56))</f>
        <v/>
      </c>
      <c r="AJ56" s="10" t="str">
        <f aca="false">IF(O56="","",IF(Z56="","(sin responsabilidad)",Z56))</f>
        <v/>
      </c>
      <c r="AK56" s="10" t="str">
        <f aca="false">IF(Q56="","",IF(AA56="","(sin responsabilidad)",AA56))</f>
        <v/>
      </c>
      <c r="AN56" s="10" t="str">
        <f aca="false">IF(C56="","",TRIM(IFERROR(LEFT(C56,FIND("(",C56)-1),C56)))</f>
        <v/>
      </c>
      <c r="AO56" s="10" t="str">
        <f aca="false">IF(E56="","",TRIM(IFERROR(LEFT(E56,FIND("(",E56)-1),E56)))</f>
        <v/>
      </c>
      <c r="AP56" s="10" t="str">
        <f aca="false">IF(G56="","",TRIM(IFERROR(LEFT(G56,FIND("(",G56)-1),G56)))</f>
        <v/>
      </c>
      <c r="AQ56" s="10" t="str">
        <f aca="false">IF(I56="","",TRIM(IFERROR(LEFT(I56,FIND("(",I56)-1),I56)))</f>
        <v/>
      </c>
      <c r="AR56" s="10" t="str">
        <f aca="false">IF(K56="","",TRIM(IFERROR(LEFT(K56,FIND("(",K56)-1),K56)))</f>
        <v/>
      </c>
      <c r="AS56" s="10" t="str">
        <f aca="false">IF(M56="","",TRIM(IFERROR(LEFT(M56,FIND("(",M56)-1),M56)))</f>
        <v/>
      </c>
      <c r="AT56" s="10" t="str">
        <f aca="false">IF(O56="","",TRIM(IFERROR(LEFT(O56,FIND("(",O56)-1),O56)))</f>
        <v/>
      </c>
      <c r="AU56" s="10" t="str">
        <f aca="false">IF(Q56="","",TRIM(IFERROR(LEFT(Q56,FIND("(",Q56)-1),Q56)))</f>
        <v/>
      </c>
    </row>
    <row r="57" customFormat="false" ht="15" hidden="false" customHeight="false" outlineLevel="0" collapsed="false">
      <c r="A57" s="14" t="n">
        <v>43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T57" s="10" t="str">
        <f aca="false">IF(B57&lt;&gt;"",TRIM(IFERROR(LEFT(B57,FIND("(",B57)-1),B57)),T56)</f>
        <v>Mobius</v>
      </c>
      <c r="U57" s="10" t="str">
        <f aca="false">IF(D57&lt;&gt;"",TRIM(IFERROR(LEFT(D57,FIND("(",D57)-1),D57)),U56)</f>
        <v>Packing</v>
      </c>
      <c r="V57" s="10" t="str">
        <f aca="false">IF(F57&lt;&gt;"",TRIM(IFERROR(LEFT(F57,FIND("(",F57)-1),F57)),V56)</f>
        <v/>
      </c>
      <c r="W57" s="10" t="str">
        <f aca="false">IF(H57&lt;&gt;"",TRIM(IFERROR(LEFT(H57,FIND("(",H57)-1),H57)),W56)</f>
        <v>Cuartos</v>
      </c>
      <c r="X57" s="10" t="str">
        <f aca="false">IF(J57&lt;&gt;"",TRIM(IFERROR(LEFT(J57,FIND("(",J57)-1),J57)),X56)</f>
        <v>Chofer</v>
      </c>
      <c r="Y57" s="10" t="str">
        <f aca="false">IF(L57&lt;&gt;"",TRIM(IFERROR(LEFT(L57,FIND("(",L57)-1),L57)),Y56)</f>
        <v>Regar</v>
      </c>
      <c r="Z57" s="10" t="str">
        <f aca="false">IF(N57&lt;&gt;"",TRIM(IFERROR(LEFT(N57,FIND("(",N57)-1),N57)),Z56)</f>
        <v>Fresh frozen</v>
      </c>
      <c r="AA57" s="10" t="str">
        <f aca="false">IF(P57&lt;&gt;"",TRIM(IFERROR(LEFT(P57,FIND("(",P57)-1),P57)),AA56)</f>
        <v/>
      </c>
      <c r="AD57" s="10" t="str">
        <f aca="false">IF(C57="","",IF(T57="","(sin responsabilidad)",T57))</f>
        <v/>
      </c>
      <c r="AE57" s="10" t="str">
        <f aca="false">IF(E57="","",IF(U57="","(sin responsabilidad)",U57))</f>
        <v/>
      </c>
      <c r="AF57" s="10" t="str">
        <f aca="false">IF(G57="","",IF(V57="","(sin responsabilidad)",V57))</f>
        <v/>
      </c>
      <c r="AG57" s="10" t="str">
        <f aca="false">IF(I57="","",IF(W57="","(sin responsabilidad)",W57))</f>
        <v/>
      </c>
      <c r="AH57" s="10" t="str">
        <f aca="false">IF(K57="","",IF(X57="","(sin responsabilidad)",X57))</f>
        <v/>
      </c>
      <c r="AI57" s="10" t="str">
        <f aca="false">IF(M57="","",IF(Y57="","(sin responsabilidad)",Y57))</f>
        <v/>
      </c>
      <c r="AJ57" s="10" t="str">
        <f aca="false">IF(O57="","",IF(Z57="","(sin responsabilidad)",Z57))</f>
        <v/>
      </c>
      <c r="AK57" s="10" t="str">
        <f aca="false">IF(Q57="","",IF(AA57="","(sin responsabilidad)",AA57))</f>
        <v/>
      </c>
      <c r="AN57" s="10" t="str">
        <f aca="false">IF(C57="","",TRIM(IFERROR(LEFT(C57,FIND("(",C57)-1),C57)))</f>
        <v/>
      </c>
      <c r="AO57" s="10" t="str">
        <f aca="false">IF(E57="","",TRIM(IFERROR(LEFT(E57,FIND("(",E57)-1),E57)))</f>
        <v/>
      </c>
      <c r="AP57" s="10" t="str">
        <f aca="false">IF(G57="","",TRIM(IFERROR(LEFT(G57,FIND("(",G57)-1),G57)))</f>
        <v/>
      </c>
      <c r="AQ57" s="10" t="str">
        <f aca="false">IF(I57="","",TRIM(IFERROR(LEFT(I57,FIND("(",I57)-1),I57)))</f>
        <v/>
      </c>
      <c r="AR57" s="10" t="str">
        <f aca="false">IF(K57="","",TRIM(IFERROR(LEFT(K57,FIND("(",K57)-1),K57)))</f>
        <v/>
      </c>
      <c r="AS57" s="10" t="str">
        <f aca="false">IF(M57="","",TRIM(IFERROR(LEFT(M57,FIND("(",M57)-1),M57)))</f>
        <v/>
      </c>
      <c r="AT57" s="10" t="str">
        <f aca="false">IF(O57="","",TRIM(IFERROR(LEFT(O57,FIND("(",O57)-1),O57)))</f>
        <v/>
      </c>
      <c r="AU57" s="10" t="str">
        <f aca="false">IF(Q57="","",TRIM(IFERROR(LEFT(Q57,FIND("(",Q57)-1),Q57)))</f>
        <v/>
      </c>
    </row>
    <row r="58" customFormat="false" ht="15" hidden="false" customHeight="false" outlineLevel="0" collapsed="false">
      <c r="A58" s="14" t="n">
        <v>44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T58" s="10" t="str">
        <f aca="false">IF(B58&lt;&gt;"",TRIM(IFERROR(LEFT(B58,FIND("(",B58)-1),B58)),T57)</f>
        <v>Mobius</v>
      </c>
      <c r="U58" s="10" t="str">
        <f aca="false">IF(D58&lt;&gt;"",TRIM(IFERROR(LEFT(D58,FIND("(",D58)-1),D58)),U57)</f>
        <v>Packing</v>
      </c>
      <c r="V58" s="10" t="str">
        <f aca="false">IF(F58&lt;&gt;"",TRIM(IFERROR(LEFT(F58,FIND("(",F58)-1),F58)),V57)</f>
        <v/>
      </c>
      <c r="W58" s="10" t="str">
        <f aca="false">IF(H58&lt;&gt;"",TRIM(IFERROR(LEFT(H58,FIND("(",H58)-1),H58)),W57)</f>
        <v>Cuartos</v>
      </c>
      <c r="X58" s="10" t="str">
        <f aca="false">IF(J58&lt;&gt;"",TRIM(IFERROR(LEFT(J58,FIND("(",J58)-1),J58)),X57)</f>
        <v>Chofer</v>
      </c>
      <c r="Y58" s="10" t="str">
        <f aca="false">IF(L58&lt;&gt;"",TRIM(IFERROR(LEFT(L58,FIND("(",L58)-1),L58)),Y57)</f>
        <v>Regar</v>
      </c>
      <c r="Z58" s="10" t="str">
        <f aca="false">IF(N58&lt;&gt;"",TRIM(IFERROR(LEFT(N58,FIND("(",N58)-1),N58)),Z57)</f>
        <v>Fresh frozen</v>
      </c>
      <c r="AA58" s="10" t="str">
        <f aca="false">IF(P58&lt;&gt;"",TRIM(IFERROR(LEFT(P58,FIND("(",P58)-1),P58)),AA57)</f>
        <v/>
      </c>
      <c r="AD58" s="10" t="str">
        <f aca="false">IF(C58="","",IF(T58="","(sin responsabilidad)",T58))</f>
        <v/>
      </c>
      <c r="AE58" s="10" t="str">
        <f aca="false">IF(E58="","",IF(U58="","(sin responsabilidad)",U58))</f>
        <v/>
      </c>
      <c r="AF58" s="10" t="str">
        <f aca="false">IF(G58="","",IF(V58="","(sin responsabilidad)",V58))</f>
        <v/>
      </c>
      <c r="AG58" s="10" t="str">
        <f aca="false">IF(I58="","",IF(W58="","(sin responsabilidad)",W58))</f>
        <v/>
      </c>
      <c r="AH58" s="10" t="str">
        <f aca="false">IF(K58="","",IF(X58="","(sin responsabilidad)",X58))</f>
        <v/>
      </c>
      <c r="AI58" s="10" t="str">
        <f aca="false">IF(M58="","",IF(Y58="","(sin responsabilidad)",Y58))</f>
        <v/>
      </c>
      <c r="AJ58" s="10" t="str">
        <f aca="false">IF(O58="","",IF(Z58="","(sin responsabilidad)",Z58))</f>
        <v/>
      </c>
      <c r="AK58" s="10" t="str">
        <f aca="false">IF(Q58="","",IF(AA58="","(sin responsabilidad)",AA58))</f>
        <v/>
      </c>
      <c r="AN58" s="10" t="str">
        <f aca="false">IF(C58="","",TRIM(IFERROR(LEFT(C58,FIND("(",C58)-1),C58)))</f>
        <v/>
      </c>
      <c r="AO58" s="10" t="str">
        <f aca="false">IF(E58="","",TRIM(IFERROR(LEFT(E58,FIND("(",E58)-1),E58)))</f>
        <v/>
      </c>
      <c r="AP58" s="10" t="str">
        <f aca="false">IF(G58="","",TRIM(IFERROR(LEFT(G58,FIND("(",G58)-1),G58)))</f>
        <v/>
      </c>
      <c r="AQ58" s="10" t="str">
        <f aca="false">IF(I58="","",TRIM(IFERROR(LEFT(I58,FIND("(",I58)-1),I58)))</f>
        <v/>
      </c>
      <c r="AR58" s="10" t="str">
        <f aca="false">IF(K58="","",TRIM(IFERROR(LEFT(K58,FIND("(",K58)-1),K58)))</f>
        <v/>
      </c>
      <c r="AS58" s="10" t="str">
        <f aca="false">IF(M58="","",TRIM(IFERROR(LEFT(M58,FIND("(",M58)-1),M58)))</f>
        <v/>
      </c>
      <c r="AT58" s="10" t="str">
        <f aca="false">IF(O58="","",TRIM(IFERROR(LEFT(O58,FIND("(",O58)-1),O58)))</f>
        <v/>
      </c>
      <c r="AU58" s="10" t="str">
        <f aca="false">IF(Q58="","",TRIM(IFERROR(LEFT(Q58,FIND("(",Q58)-1),Q58)))</f>
        <v/>
      </c>
    </row>
    <row r="59" customFormat="false" ht="15" hidden="false" customHeight="false" outlineLevel="0" collapsed="false">
      <c r="A59" s="14" t="n">
        <v>45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T59" s="10" t="str">
        <f aca="false">IF(B59&lt;&gt;"",TRIM(IFERROR(LEFT(B59,FIND("(",B59)-1),B59)),T58)</f>
        <v>Mobius</v>
      </c>
      <c r="U59" s="10" t="str">
        <f aca="false">IF(D59&lt;&gt;"",TRIM(IFERROR(LEFT(D59,FIND("(",D59)-1),D59)),U58)</f>
        <v>Packing</v>
      </c>
      <c r="V59" s="10" t="str">
        <f aca="false">IF(F59&lt;&gt;"",TRIM(IFERROR(LEFT(F59,FIND("(",F59)-1),F59)),V58)</f>
        <v/>
      </c>
      <c r="W59" s="10" t="str">
        <f aca="false">IF(H59&lt;&gt;"",TRIM(IFERROR(LEFT(H59,FIND("(",H59)-1),H59)),W58)</f>
        <v>Cuartos</v>
      </c>
      <c r="X59" s="10" t="str">
        <f aca="false">IF(J59&lt;&gt;"",TRIM(IFERROR(LEFT(J59,FIND("(",J59)-1),J59)),X58)</f>
        <v>Chofer</v>
      </c>
      <c r="Y59" s="10" t="str">
        <f aca="false">IF(L59&lt;&gt;"",TRIM(IFERROR(LEFT(L59,FIND("(",L59)-1),L59)),Y58)</f>
        <v>Regar</v>
      </c>
      <c r="Z59" s="10" t="str">
        <f aca="false">IF(N59&lt;&gt;"",TRIM(IFERROR(LEFT(N59,FIND("(",N59)-1),N59)),Z58)</f>
        <v>Fresh frozen</v>
      </c>
      <c r="AA59" s="10" t="str">
        <f aca="false">IF(P59&lt;&gt;"",TRIM(IFERROR(LEFT(P59,FIND("(",P59)-1),P59)),AA58)</f>
        <v/>
      </c>
      <c r="AD59" s="10" t="str">
        <f aca="false">IF(C59="","",IF(T59="","(sin responsabilidad)",T59))</f>
        <v/>
      </c>
      <c r="AE59" s="10" t="str">
        <f aca="false">IF(E59="","",IF(U59="","(sin responsabilidad)",U59))</f>
        <v/>
      </c>
      <c r="AF59" s="10" t="str">
        <f aca="false">IF(G59="","",IF(V59="","(sin responsabilidad)",V59))</f>
        <v/>
      </c>
      <c r="AG59" s="10" t="str">
        <f aca="false">IF(I59="","",IF(W59="","(sin responsabilidad)",W59))</f>
        <v/>
      </c>
      <c r="AH59" s="10" t="str">
        <f aca="false">IF(K59="","",IF(X59="","(sin responsabilidad)",X59))</f>
        <v/>
      </c>
      <c r="AI59" s="10" t="str">
        <f aca="false">IF(M59="","",IF(Y59="","(sin responsabilidad)",Y59))</f>
        <v/>
      </c>
      <c r="AJ59" s="10" t="str">
        <f aca="false">IF(O59="","",IF(Z59="","(sin responsabilidad)",Z59))</f>
        <v/>
      </c>
      <c r="AK59" s="10" t="str">
        <f aca="false">IF(Q59="","",IF(AA59="","(sin responsabilidad)",AA59))</f>
        <v/>
      </c>
      <c r="AN59" s="10" t="str">
        <f aca="false">IF(C59="","",TRIM(IFERROR(LEFT(C59,FIND("(",C59)-1),C59)))</f>
        <v/>
      </c>
      <c r="AO59" s="10" t="str">
        <f aca="false">IF(E59="","",TRIM(IFERROR(LEFT(E59,FIND("(",E59)-1),E59)))</f>
        <v/>
      </c>
      <c r="AP59" s="10" t="str">
        <f aca="false">IF(G59="","",TRIM(IFERROR(LEFT(G59,FIND("(",G59)-1),G59)))</f>
        <v/>
      </c>
      <c r="AQ59" s="10" t="str">
        <f aca="false">IF(I59="","",TRIM(IFERROR(LEFT(I59,FIND("(",I59)-1),I59)))</f>
        <v/>
      </c>
      <c r="AR59" s="10" t="str">
        <f aca="false">IF(K59="","",TRIM(IFERROR(LEFT(K59,FIND("(",K59)-1),K59)))</f>
        <v/>
      </c>
      <c r="AS59" s="10" t="str">
        <f aca="false">IF(M59="","",TRIM(IFERROR(LEFT(M59,FIND("(",M59)-1),M59)))</f>
        <v/>
      </c>
      <c r="AT59" s="10" t="str">
        <f aca="false">IF(O59="","",TRIM(IFERROR(LEFT(O59,FIND("(",O59)-1),O59)))</f>
        <v/>
      </c>
      <c r="AU59" s="10" t="str">
        <f aca="false">IF(Q59="","",TRIM(IFERROR(LEFT(Q59,FIND("(",Q59)-1),Q59)))</f>
        <v/>
      </c>
    </row>
    <row r="60" customFormat="false" ht="15" hidden="false" customHeight="false" outlineLevel="0" collapsed="false">
      <c r="A60" s="14" t="n">
        <v>46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T60" s="10" t="str">
        <f aca="false">IF(B60&lt;&gt;"",TRIM(IFERROR(LEFT(B60,FIND("(",B60)-1),B60)),T59)</f>
        <v>Mobius</v>
      </c>
      <c r="U60" s="10" t="str">
        <f aca="false">IF(D60&lt;&gt;"",TRIM(IFERROR(LEFT(D60,FIND("(",D60)-1),D60)),U59)</f>
        <v>Packing</v>
      </c>
      <c r="V60" s="10" t="str">
        <f aca="false">IF(F60&lt;&gt;"",TRIM(IFERROR(LEFT(F60,FIND("(",F60)-1),F60)),V59)</f>
        <v/>
      </c>
      <c r="W60" s="10" t="str">
        <f aca="false">IF(H60&lt;&gt;"",TRIM(IFERROR(LEFT(H60,FIND("(",H60)-1),H60)),W59)</f>
        <v>Cuartos</v>
      </c>
      <c r="X60" s="10" t="str">
        <f aca="false">IF(J60&lt;&gt;"",TRIM(IFERROR(LEFT(J60,FIND("(",J60)-1),J60)),X59)</f>
        <v>Chofer</v>
      </c>
      <c r="Y60" s="10" t="str">
        <f aca="false">IF(L60&lt;&gt;"",TRIM(IFERROR(LEFT(L60,FIND("(",L60)-1),L60)),Y59)</f>
        <v>Regar</v>
      </c>
      <c r="Z60" s="10" t="str">
        <f aca="false">IF(N60&lt;&gt;"",TRIM(IFERROR(LEFT(N60,FIND("(",N60)-1),N60)),Z59)</f>
        <v>Fresh frozen</v>
      </c>
      <c r="AA60" s="10" t="str">
        <f aca="false">IF(P60&lt;&gt;"",TRIM(IFERROR(LEFT(P60,FIND("(",P60)-1),P60)),AA59)</f>
        <v/>
      </c>
      <c r="AD60" s="10" t="str">
        <f aca="false">IF(C60="","",IF(T60="","(sin responsabilidad)",T60))</f>
        <v/>
      </c>
      <c r="AE60" s="10" t="str">
        <f aca="false">IF(E60="","",IF(U60="","(sin responsabilidad)",U60))</f>
        <v/>
      </c>
      <c r="AF60" s="10" t="str">
        <f aca="false">IF(G60="","",IF(V60="","(sin responsabilidad)",V60))</f>
        <v/>
      </c>
      <c r="AG60" s="10" t="str">
        <f aca="false">IF(I60="","",IF(W60="","(sin responsabilidad)",W60))</f>
        <v/>
      </c>
      <c r="AH60" s="10" t="str">
        <f aca="false">IF(K60="","",IF(X60="","(sin responsabilidad)",X60))</f>
        <v/>
      </c>
      <c r="AI60" s="10" t="str">
        <f aca="false">IF(M60="","",IF(Y60="","(sin responsabilidad)",Y60))</f>
        <v/>
      </c>
      <c r="AJ60" s="10" t="str">
        <f aca="false">IF(O60="","",IF(Z60="","(sin responsabilidad)",Z60))</f>
        <v/>
      </c>
      <c r="AK60" s="10" t="str">
        <f aca="false">IF(Q60="","",IF(AA60="","(sin responsabilidad)",AA60))</f>
        <v/>
      </c>
      <c r="AN60" s="10" t="str">
        <f aca="false">IF(C60="","",TRIM(IFERROR(LEFT(C60,FIND("(",C60)-1),C60)))</f>
        <v/>
      </c>
      <c r="AO60" s="10" t="str">
        <f aca="false">IF(E60="","",TRIM(IFERROR(LEFT(E60,FIND("(",E60)-1),E60)))</f>
        <v/>
      </c>
      <c r="AP60" s="10" t="str">
        <f aca="false">IF(G60="","",TRIM(IFERROR(LEFT(G60,FIND("(",G60)-1),G60)))</f>
        <v/>
      </c>
      <c r="AQ60" s="10" t="str">
        <f aca="false">IF(I60="","",TRIM(IFERROR(LEFT(I60,FIND("(",I60)-1),I60)))</f>
        <v/>
      </c>
      <c r="AR60" s="10" t="str">
        <f aca="false">IF(K60="","",TRIM(IFERROR(LEFT(K60,FIND("(",K60)-1),K60)))</f>
        <v/>
      </c>
      <c r="AS60" s="10" t="str">
        <f aca="false">IF(M60="","",TRIM(IFERROR(LEFT(M60,FIND("(",M60)-1),M60)))</f>
        <v/>
      </c>
      <c r="AT60" s="10" t="str">
        <f aca="false">IF(O60="","",TRIM(IFERROR(LEFT(O60,FIND("(",O60)-1),O60)))</f>
        <v/>
      </c>
      <c r="AU60" s="10" t="str">
        <f aca="false">IF(Q60="","",TRIM(IFERROR(LEFT(Q60,FIND("(",Q60)-1),Q60)))</f>
        <v/>
      </c>
    </row>
    <row r="61" customFormat="false" ht="15" hidden="false" customHeight="false" outlineLevel="0" collapsed="false">
      <c r="A61" s="14" t="n">
        <v>47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T61" s="10" t="str">
        <f aca="false">IF(B61&lt;&gt;"",TRIM(IFERROR(LEFT(B61,FIND("(",B61)-1),B61)),T60)</f>
        <v>Mobius</v>
      </c>
      <c r="U61" s="10" t="str">
        <f aca="false">IF(D61&lt;&gt;"",TRIM(IFERROR(LEFT(D61,FIND("(",D61)-1),D61)),U60)</f>
        <v>Packing</v>
      </c>
      <c r="V61" s="10" t="str">
        <f aca="false">IF(F61&lt;&gt;"",TRIM(IFERROR(LEFT(F61,FIND("(",F61)-1),F61)),V60)</f>
        <v/>
      </c>
      <c r="W61" s="10" t="str">
        <f aca="false">IF(H61&lt;&gt;"",TRIM(IFERROR(LEFT(H61,FIND("(",H61)-1),H61)),W60)</f>
        <v>Cuartos</v>
      </c>
      <c r="X61" s="10" t="str">
        <f aca="false">IF(J61&lt;&gt;"",TRIM(IFERROR(LEFT(J61,FIND("(",J61)-1),J61)),X60)</f>
        <v>Chofer</v>
      </c>
      <c r="Y61" s="10" t="str">
        <f aca="false">IF(L61&lt;&gt;"",TRIM(IFERROR(LEFT(L61,FIND("(",L61)-1),L61)),Y60)</f>
        <v>Regar</v>
      </c>
      <c r="Z61" s="10" t="str">
        <f aca="false">IF(N61&lt;&gt;"",TRIM(IFERROR(LEFT(N61,FIND("(",N61)-1),N61)),Z60)</f>
        <v>Fresh frozen</v>
      </c>
      <c r="AA61" s="10" t="str">
        <f aca="false">IF(P61&lt;&gt;"",TRIM(IFERROR(LEFT(P61,FIND("(",P61)-1),P61)),AA60)</f>
        <v/>
      </c>
      <c r="AD61" s="10" t="str">
        <f aca="false">IF(C61="","",IF(T61="","(sin responsabilidad)",T61))</f>
        <v/>
      </c>
      <c r="AE61" s="10" t="str">
        <f aca="false">IF(E61="","",IF(U61="","(sin responsabilidad)",U61))</f>
        <v/>
      </c>
      <c r="AF61" s="10" t="str">
        <f aca="false">IF(G61="","",IF(V61="","(sin responsabilidad)",V61))</f>
        <v/>
      </c>
      <c r="AG61" s="10" t="str">
        <f aca="false">IF(I61="","",IF(W61="","(sin responsabilidad)",W61))</f>
        <v/>
      </c>
      <c r="AH61" s="10" t="str">
        <f aca="false">IF(K61="","",IF(X61="","(sin responsabilidad)",X61))</f>
        <v/>
      </c>
      <c r="AI61" s="10" t="str">
        <f aca="false">IF(M61="","",IF(Y61="","(sin responsabilidad)",Y61))</f>
        <v/>
      </c>
      <c r="AJ61" s="10" t="str">
        <f aca="false">IF(O61="","",IF(Z61="","(sin responsabilidad)",Z61))</f>
        <v/>
      </c>
      <c r="AK61" s="10" t="str">
        <f aca="false">IF(Q61="","",IF(AA61="","(sin responsabilidad)",AA61))</f>
        <v/>
      </c>
      <c r="AN61" s="10" t="str">
        <f aca="false">IF(C61="","",TRIM(IFERROR(LEFT(C61,FIND("(",C61)-1),C61)))</f>
        <v/>
      </c>
      <c r="AO61" s="10" t="str">
        <f aca="false">IF(E61="","",TRIM(IFERROR(LEFT(E61,FIND("(",E61)-1),E61)))</f>
        <v/>
      </c>
      <c r="AP61" s="10" t="str">
        <f aca="false">IF(G61="","",TRIM(IFERROR(LEFT(G61,FIND("(",G61)-1),G61)))</f>
        <v/>
      </c>
      <c r="AQ61" s="10" t="str">
        <f aca="false">IF(I61="","",TRIM(IFERROR(LEFT(I61,FIND("(",I61)-1),I61)))</f>
        <v/>
      </c>
      <c r="AR61" s="10" t="str">
        <f aca="false">IF(K61="","",TRIM(IFERROR(LEFT(K61,FIND("(",K61)-1),K61)))</f>
        <v/>
      </c>
      <c r="AS61" s="10" t="str">
        <f aca="false">IF(M61="","",TRIM(IFERROR(LEFT(M61,FIND("(",M61)-1),M61)))</f>
        <v/>
      </c>
      <c r="AT61" s="10" t="str">
        <f aca="false">IF(O61="","",TRIM(IFERROR(LEFT(O61,FIND("(",O61)-1),O61)))</f>
        <v/>
      </c>
      <c r="AU61" s="10" t="str">
        <f aca="false">IF(Q61="","",TRIM(IFERROR(LEFT(Q61,FIND("(",Q61)-1),Q61)))</f>
        <v/>
      </c>
    </row>
    <row r="62" customFormat="false" ht="15" hidden="false" customHeight="false" outlineLevel="0" collapsed="false">
      <c r="A62" s="14" t="n">
        <v>48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T62" s="10" t="str">
        <f aca="false">IF(B62&lt;&gt;"",TRIM(IFERROR(LEFT(B62,FIND("(",B62)-1),B62)),T61)</f>
        <v>Mobius</v>
      </c>
      <c r="U62" s="10" t="str">
        <f aca="false">IF(D62&lt;&gt;"",TRIM(IFERROR(LEFT(D62,FIND("(",D62)-1),D62)),U61)</f>
        <v>Packing</v>
      </c>
      <c r="V62" s="10" t="str">
        <f aca="false">IF(F62&lt;&gt;"",TRIM(IFERROR(LEFT(F62,FIND("(",F62)-1),F62)),V61)</f>
        <v/>
      </c>
      <c r="W62" s="10" t="str">
        <f aca="false">IF(H62&lt;&gt;"",TRIM(IFERROR(LEFT(H62,FIND("(",H62)-1),H62)),W61)</f>
        <v>Cuartos</v>
      </c>
      <c r="X62" s="10" t="str">
        <f aca="false">IF(J62&lt;&gt;"",TRIM(IFERROR(LEFT(J62,FIND("(",J62)-1),J62)),X61)</f>
        <v>Chofer</v>
      </c>
      <c r="Y62" s="10" t="str">
        <f aca="false">IF(L62&lt;&gt;"",TRIM(IFERROR(LEFT(L62,FIND("(",L62)-1),L62)),Y61)</f>
        <v>Regar</v>
      </c>
      <c r="Z62" s="10" t="str">
        <f aca="false">IF(N62&lt;&gt;"",TRIM(IFERROR(LEFT(N62,FIND("(",N62)-1),N62)),Z61)</f>
        <v>Fresh frozen</v>
      </c>
      <c r="AA62" s="10" t="str">
        <f aca="false">IF(P62&lt;&gt;"",TRIM(IFERROR(LEFT(P62,FIND("(",P62)-1),P62)),AA61)</f>
        <v/>
      </c>
      <c r="AD62" s="10" t="str">
        <f aca="false">IF(C62="","",IF(T62="","(sin responsabilidad)",T62))</f>
        <v/>
      </c>
      <c r="AE62" s="10" t="str">
        <f aca="false">IF(E62="","",IF(U62="","(sin responsabilidad)",U62))</f>
        <v/>
      </c>
      <c r="AF62" s="10" t="str">
        <f aca="false">IF(G62="","",IF(V62="","(sin responsabilidad)",V62))</f>
        <v/>
      </c>
      <c r="AG62" s="10" t="str">
        <f aca="false">IF(I62="","",IF(W62="","(sin responsabilidad)",W62))</f>
        <v/>
      </c>
      <c r="AH62" s="10" t="str">
        <f aca="false">IF(K62="","",IF(X62="","(sin responsabilidad)",X62))</f>
        <v/>
      </c>
      <c r="AI62" s="10" t="str">
        <f aca="false">IF(M62="","",IF(Y62="","(sin responsabilidad)",Y62))</f>
        <v/>
      </c>
      <c r="AJ62" s="10" t="str">
        <f aca="false">IF(O62="","",IF(Z62="","(sin responsabilidad)",Z62))</f>
        <v/>
      </c>
      <c r="AK62" s="10" t="str">
        <f aca="false">IF(Q62="","",IF(AA62="","(sin responsabilidad)",AA62))</f>
        <v/>
      </c>
      <c r="AN62" s="10" t="str">
        <f aca="false">IF(C62="","",TRIM(IFERROR(LEFT(C62,FIND("(",C62)-1),C62)))</f>
        <v/>
      </c>
      <c r="AO62" s="10" t="str">
        <f aca="false">IF(E62="","",TRIM(IFERROR(LEFT(E62,FIND("(",E62)-1),E62)))</f>
        <v/>
      </c>
      <c r="AP62" s="10" t="str">
        <f aca="false">IF(G62="","",TRIM(IFERROR(LEFT(G62,FIND("(",G62)-1),G62)))</f>
        <v/>
      </c>
      <c r="AQ62" s="10" t="str">
        <f aca="false">IF(I62="","",TRIM(IFERROR(LEFT(I62,FIND("(",I62)-1),I62)))</f>
        <v/>
      </c>
      <c r="AR62" s="10" t="str">
        <f aca="false">IF(K62="","",TRIM(IFERROR(LEFT(K62,FIND("(",K62)-1),K62)))</f>
        <v/>
      </c>
      <c r="AS62" s="10" t="str">
        <f aca="false">IF(M62="","",TRIM(IFERROR(LEFT(M62,FIND("(",M62)-1),M62)))</f>
        <v/>
      </c>
      <c r="AT62" s="10" t="str">
        <f aca="false">IF(O62="","",TRIM(IFERROR(LEFT(O62,FIND("(",O62)-1),O62)))</f>
        <v/>
      </c>
      <c r="AU62" s="10" t="str">
        <f aca="false">IF(Q62="","",TRIM(IFERROR(LEFT(Q62,FIND("(",Q62)-1),Q62)))</f>
        <v/>
      </c>
    </row>
    <row r="63" customFormat="false" ht="15" hidden="false" customHeight="false" outlineLevel="0" collapsed="false">
      <c r="A63" s="14" t="n">
        <v>49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T63" s="10" t="str">
        <f aca="false">IF(B63&lt;&gt;"",TRIM(IFERROR(LEFT(B63,FIND("(",B63)-1),B63)),T62)</f>
        <v>Mobius</v>
      </c>
      <c r="U63" s="10" t="str">
        <f aca="false">IF(D63&lt;&gt;"",TRIM(IFERROR(LEFT(D63,FIND("(",D63)-1),D63)),U62)</f>
        <v>Packing</v>
      </c>
      <c r="V63" s="10" t="str">
        <f aca="false">IF(F63&lt;&gt;"",TRIM(IFERROR(LEFT(F63,FIND("(",F63)-1),F63)),V62)</f>
        <v/>
      </c>
      <c r="W63" s="10" t="str">
        <f aca="false">IF(H63&lt;&gt;"",TRIM(IFERROR(LEFT(H63,FIND("(",H63)-1),H63)),W62)</f>
        <v>Cuartos</v>
      </c>
      <c r="X63" s="10" t="str">
        <f aca="false">IF(J63&lt;&gt;"",TRIM(IFERROR(LEFT(J63,FIND("(",J63)-1),J63)),X62)</f>
        <v>Chofer</v>
      </c>
      <c r="Y63" s="10" t="str">
        <f aca="false">IF(L63&lt;&gt;"",TRIM(IFERROR(LEFT(L63,FIND("(",L63)-1),L63)),Y62)</f>
        <v>Regar</v>
      </c>
      <c r="Z63" s="10" t="str">
        <f aca="false">IF(N63&lt;&gt;"",TRIM(IFERROR(LEFT(N63,FIND("(",N63)-1),N63)),Z62)</f>
        <v>Fresh frozen</v>
      </c>
      <c r="AA63" s="10" t="str">
        <f aca="false">IF(P63&lt;&gt;"",TRIM(IFERROR(LEFT(P63,FIND("(",P63)-1),P63)),AA62)</f>
        <v/>
      </c>
      <c r="AD63" s="10" t="str">
        <f aca="false">IF(C63="","",IF(T63="","(sin responsabilidad)",T63))</f>
        <v/>
      </c>
      <c r="AE63" s="10" t="str">
        <f aca="false">IF(E63="","",IF(U63="","(sin responsabilidad)",U63))</f>
        <v/>
      </c>
      <c r="AF63" s="10" t="str">
        <f aca="false">IF(G63="","",IF(V63="","(sin responsabilidad)",V63))</f>
        <v/>
      </c>
      <c r="AG63" s="10" t="str">
        <f aca="false">IF(I63="","",IF(W63="","(sin responsabilidad)",W63))</f>
        <v/>
      </c>
      <c r="AH63" s="10" t="str">
        <f aca="false">IF(K63="","",IF(X63="","(sin responsabilidad)",X63))</f>
        <v/>
      </c>
      <c r="AI63" s="10" t="str">
        <f aca="false">IF(M63="","",IF(Y63="","(sin responsabilidad)",Y63))</f>
        <v/>
      </c>
      <c r="AJ63" s="10" t="str">
        <f aca="false">IF(O63="","",IF(Z63="","(sin responsabilidad)",Z63))</f>
        <v/>
      </c>
      <c r="AK63" s="10" t="str">
        <f aca="false">IF(Q63="","",IF(AA63="","(sin responsabilidad)",AA63))</f>
        <v/>
      </c>
      <c r="AN63" s="10" t="str">
        <f aca="false">IF(C63="","",TRIM(IFERROR(LEFT(C63,FIND("(",C63)-1),C63)))</f>
        <v/>
      </c>
      <c r="AO63" s="10" t="str">
        <f aca="false">IF(E63="","",TRIM(IFERROR(LEFT(E63,FIND("(",E63)-1),E63)))</f>
        <v/>
      </c>
      <c r="AP63" s="10" t="str">
        <f aca="false">IF(G63="","",TRIM(IFERROR(LEFT(G63,FIND("(",G63)-1),G63)))</f>
        <v/>
      </c>
      <c r="AQ63" s="10" t="str">
        <f aca="false">IF(I63="","",TRIM(IFERROR(LEFT(I63,FIND("(",I63)-1),I63)))</f>
        <v/>
      </c>
      <c r="AR63" s="10" t="str">
        <f aca="false">IF(K63="","",TRIM(IFERROR(LEFT(K63,FIND("(",K63)-1),K63)))</f>
        <v/>
      </c>
      <c r="AS63" s="10" t="str">
        <f aca="false">IF(M63="","",TRIM(IFERROR(LEFT(M63,FIND("(",M63)-1),M63)))</f>
        <v/>
      </c>
      <c r="AT63" s="10" t="str">
        <f aca="false">IF(O63="","",TRIM(IFERROR(LEFT(O63,FIND("(",O63)-1),O63)))</f>
        <v/>
      </c>
      <c r="AU63" s="10" t="str">
        <f aca="false">IF(Q63="","",TRIM(IFERROR(LEFT(Q63,FIND("(",Q63)-1),Q63)))</f>
        <v/>
      </c>
    </row>
    <row r="64" customFormat="false" ht="15" hidden="false" customHeight="false" outlineLevel="0" collapsed="false">
      <c r="A64" s="14" t="n">
        <v>50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T64" s="10" t="str">
        <f aca="false">IF(B64&lt;&gt;"",TRIM(IFERROR(LEFT(B64,FIND("(",B64)-1),B64)),T63)</f>
        <v>Mobius</v>
      </c>
      <c r="U64" s="10" t="str">
        <f aca="false">IF(D64&lt;&gt;"",TRIM(IFERROR(LEFT(D64,FIND("(",D64)-1),D64)),U63)</f>
        <v>Packing</v>
      </c>
      <c r="V64" s="10" t="str">
        <f aca="false">IF(F64&lt;&gt;"",TRIM(IFERROR(LEFT(F64,FIND("(",F64)-1),F64)),V63)</f>
        <v/>
      </c>
      <c r="W64" s="10" t="str">
        <f aca="false">IF(H64&lt;&gt;"",TRIM(IFERROR(LEFT(H64,FIND("(",H64)-1),H64)),W63)</f>
        <v>Cuartos</v>
      </c>
      <c r="X64" s="10" t="str">
        <f aca="false">IF(J64&lt;&gt;"",TRIM(IFERROR(LEFT(J64,FIND("(",J64)-1),J64)),X63)</f>
        <v>Chofer</v>
      </c>
      <c r="Y64" s="10" t="str">
        <f aca="false">IF(L64&lt;&gt;"",TRIM(IFERROR(LEFT(L64,FIND("(",L64)-1),L64)),Y63)</f>
        <v>Regar</v>
      </c>
      <c r="Z64" s="10" t="str">
        <f aca="false">IF(N64&lt;&gt;"",TRIM(IFERROR(LEFT(N64,FIND("(",N64)-1),N64)),Z63)</f>
        <v>Fresh frozen</v>
      </c>
      <c r="AA64" s="10" t="str">
        <f aca="false">IF(P64&lt;&gt;"",TRIM(IFERROR(LEFT(P64,FIND("(",P64)-1),P64)),AA63)</f>
        <v/>
      </c>
      <c r="AD64" s="10" t="str">
        <f aca="false">IF(C64="","",IF(T64="","(sin responsabilidad)",T64))</f>
        <v/>
      </c>
      <c r="AE64" s="10" t="str">
        <f aca="false">IF(E64="","",IF(U64="","(sin responsabilidad)",U64))</f>
        <v/>
      </c>
      <c r="AF64" s="10" t="str">
        <f aca="false">IF(G64="","",IF(V64="","(sin responsabilidad)",V64))</f>
        <v/>
      </c>
      <c r="AG64" s="10" t="str">
        <f aca="false">IF(I64="","",IF(W64="","(sin responsabilidad)",W64))</f>
        <v/>
      </c>
      <c r="AH64" s="10" t="str">
        <f aca="false">IF(K64="","",IF(X64="","(sin responsabilidad)",X64))</f>
        <v/>
      </c>
      <c r="AI64" s="10" t="str">
        <f aca="false">IF(M64="","",IF(Y64="","(sin responsabilidad)",Y64))</f>
        <v/>
      </c>
      <c r="AJ64" s="10" t="str">
        <f aca="false">IF(O64="","",IF(Z64="","(sin responsabilidad)",Z64))</f>
        <v/>
      </c>
      <c r="AK64" s="10" t="str">
        <f aca="false">IF(Q64="","",IF(AA64="","(sin responsabilidad)",AA64))</f>
        <v/>
      </c>
      <c r="AN64" s="10" t="str">
        <f aca="false">IF(C64="","",TRIM(IFERROR(LEFT(C64,FIND("(",C64)-1),C64)))</f>
        <v/>
      </c>
      <c r="AO64" s="10" t="str">
        <f aca="false">IF(E64="","",TRIM(IFERROR(LEFT(E64,FIND("(",E64)-1),E64)))</f>
        <v/>
      </c>
      <c r="AP64" s="10" t="str">
        <f aca="false">IF(G64="","",TRIM(IFERROR(LEFT(G64,FIND("(",G64)-1),G64)))</f>
        <v/>
      </c>
      <c r="AQ64" s="10" t="str">
        <f aca="false">IF(I64="","",TRIM(IFERROR(LEFT(I64,FIND("(",I64)-1),I64)))</f>
        <v/>
      </c>
      <c r="AR64" s="10" t="str">
        <f aca="false">IF(K64="","",TRIM(IFERROR(LEFT(K64,FIND("(",K64)-1),K64)))</f>
        <v/>
      </c>
      <c r="AS64" s="10" t="str">
        <f aca="false">IF(M64="","",TRIM(IFERROR(LEFT(M64,FIND("(",M64)-1),M64)))</f>
        <v/>
      </c>
      <c r="AT64" s="10" t="str">
        <f aca="false">IF(O64="","",TRIM(IFERROR(LEFT(O64,FIND("(",O64)-1),O64)))</f>
        <v/>
      </c>
      <c r="AU64" s="10" t="str">
        <f aca="false">IF(Q64="","",TRIM(IFERROR(LEFT(Q64,FIND("(",Q64)-1),Q64)))</f>
        <v/>
      </c>
    </row>
  </sheetData>
  <mergeCells count="49">
    <mergeCell ref="C1:D1"/>
    <mergeCell ref="B3:C3"/>
    <mergeCell ref="D3:E3"/>
    <mergeCell ref="F3:G3"/>
    <mergeCell ref="H3:I3"/>
    <mergeCell ref="J3:K3"/>
    <mergeCell ref="L3:M3"/>
    <mergeCell ref="N3:O3"/>
    <mergeCell ref="P3:Q3"/>
    <mergeCell ref="B4:C4"/>
    <mergeCell ref="D4:E4"/>
    <mergeCell ref="F4:G4"/>
    <mergeCell ref="H4:I4"/>
    <mergeCell ref="J4:K4"/>
    <mergeCell ref="L4:M4"/>
    <mergeCell ref="N4:O4"/>
    <mergeCell ref="P4:Q4"/>
    <mergeCell ref="B6:C6"/>
    <mergeCell ref="D6:E6"/>
    <mergeCell ref="F6:G6"/>
    <mergeCell ref="H6:I6"/>
    <mergeCell ref="J6:K6"/>
    <mergeCell ref="L6:M6"/>
    <mergeCell ref="N6:O6"/>
    <mergeCell ref="P6:Q6"/>
    <mergeCell ref="B11:C11"/>
    <mergeCell ref="D11:E11"/>
    <mergeCell ref="F11:G11"/>
    <mergeCell ref="H11:I11"/>
    <mergeCell ref="J11:K11"/>
    <mergeCell ref="L11:M11"/>
    <mergeCell ref="N11:O11"/>
    <mergeCell ref="P11:Q11"/>
    <mergeCell ref="B12:C12"/>
    <mergeCell ref="D12:E12"/>
    <mergeCell ref="F12:G12"/>
    <mergeCell ref="H12:I12"/>
    <mergeCell ref="J12:K12"/>
    <mergeCell ref="L12:M12"/>
    <mergeCell ref="N12:O12"/>
    <mergeCell ref="P12:Q12"/>
    <mergeCell ref="B13:C13"/>
    <mergeCell ref="D13:E13"/>
    <mergeCell ref="F13:G13"/>
    <mergeCell ref="H13:I13"/>
    <mergeCell ref="J13:K13"/>
    <mergeCell ref="L13:M13"/>
    <mergeCell ref="N13:O13"/>
    <mergeCell ref="P13:Q13"/>
  </mergeCells>
  <conditionalFormatting sqref="B15:B64">
    <cfRule type="expression" priority="2" aboveAverage="0" equalAverage="0" bottom="0" percent="0" rank="0" text="" dxfId="0">
      <formula>B15&lt;&gt;""</formula>
    </cfRule>
  </conditionalFormatting>
  <conditionalFormatting sqref="C15:C64">
    <cfRule type="expression" priority="3" aboveAverage="0" equalAverage="0" bottom="0" percent="0" rank="0" text="" dxfId="1">
      <formula>AND(C15&lt;&gt;"",COUNTIF($AN$6:$AU$64,TRIM(IFERROR(LEFT(C15,FIND("(",C15)-1),C15)))&gt;1)</formula>
    </cfRule>
  </conditionalFormatting>
  <conditionalFormatting sqref="B6">
    <cfRule type="expression" priority="4" aboveAverage="0" equalAverage="0" bottom="0" percent="0" rank="0" text="" dxfId="1">
      <formula>AND(B6&lt;&gt;"",COUNTIF($AN$6:$AU$64,TRIM(IFERROR(LEFT(B6,FIND("(",B6)-1),B6)))&gt;1)</formula>
    </cfRule>
  </conditionalFormatting>
  <conditionalFormatting sqref="D15:D64">
    <cfRule type="expression" priority="5" aboveAverage="0" equalAverage="0" bottom="0" percent="0" rank="0" text="" dxfId="0">
      <formula>D15&lt;&gt;""</formula>
    </cfRule>
  </conditionalFormatting>
  <conditionalFormatting sqref="E15:E64">
    <cfRule type="expression" priority="6" aboveAverage="0" equalAverage="0" bottom="0" percent="0" rank="0" text="" dxfId="1">
      <formula>AND(E15&lt;&gt;"",COUNTIF($AN$6:$AU$64,TRIM(IFERROR(LEFT(E15,FIND("(",E15)-1),E15)))&gt;1)</formula>
    </cfRule>
  </conditionalFormatting>
  <conditionalFormatting sqref="D6">
    <cfRule type="expression" priority="7" aboveAverage="0" equalAverage="0" bottom="0" percent="0" rank="0" text="" dxfId="1">
      <formula>AND(D6&lt;&gt;"",COUNTIF($AN$6:$AU$64,TRIM(IFERROR(LEFT(D6,FIND("(",D6)-1),D6)))&gt;1)</formula>
    </cfRule>
  </conditionalFormatting>
  <conditionalFormatting sqref="F15:F64">
    <cfRule type="expression" priority="8" aboveAverage="0" equalAverage="0" bottom="0" percent="0" rank="0" text="" dxfId="0">
      <formula>F15&lt;&gt;""</formula>
    </cfRule>
  </conditionalFormatting>
  <conditionalFormatting sqref="G15:G64">
    <cfRule type="expression" priority="9" aboveAverage="0" equalAverage="0" bottom="0" percent="0" rank="0" text="" dxfId="1">
      <formula>AND(G15&lt;&gt;"",COUNTIF($AN$6:$AU$64,TRIM(IFERROR(LEFT(G15,FIND("(",G15)-1),G15)))&gt;1)</formula>
    </cfRule>
  </conditionalFormatting>
  <conditionalFormatting sqref="F6">
    <cfRule type="expression" priority="10" aboveAverage="0" equalAverage="0" bottom="0" percent="0" rank="0" text="" dxfId="1">
      <formula>AND(F6&lt;&gt;"",COUNTIF($AN$6:$AU$64,TRIM(IFERROR(LEFT(F6,FIND("(",F6)-1),F6)))&gt;1)</formula>
    </cfRule>
  </conditionalFormatting>
  <conditionalFormatting sqref="H15:H64">
    <cfRule type="expression" priority="11" aboveAverage="0" equalAverage="0" bottom="0" percent="0" rank="0" text="" dxfId="0">
      <formula>H15&lt;&gt;""</formula>
    </cfRule>
  </conditionalFormatting>
  <conditionalFormatting sqref="I15:I64">
    <cfRule type="expression" priority="12" aboveAverage="0" equalAverage="0" bottom="0" percent="0" rank="0" text="" dxfId="1">
      <formula>AND(I15&lt;&gt;"",COUNTIF($AN$6:$AU$64,TRIM(IFERROR(LEFT(I15,FIND("(",I15)-1),I15)))&gt;1)</formula>
    </cfRule>
  </conditionalFormatting>
  <conditionalFormatting sqref="H6">
    <cfRule type="expression" priority="13" aboveAverage="0" equalAverage="0" bottom="0" percent="0" rank="0" text="" dxfId="1">
      <formula>AND(H6&lt;&gt;"",COUNTIF($AN$6:$AU$64,TRIM(IFERROR(LEFT(H6,FIND("(",H6)-1),H6)))&gt;1)</formula>
    </cfRule>
  </conditionalFormatting>
  <conditionalFormatting sqref="J15:J64">
    <cfRule type="expression" priority="14" aboveAverage="0" equalAverage="0" bottom="0" percent="0" rank="0" text="" dxfId="0">
      <formula>J15&lt;&gt;""</formula>
    </cfRule>
  </conditionalFormatting>
  <conditionalFormatting sqref="K15:K64">
    <cfRule type="expression" priority="15" aboveAverage="0" equalAverage="0" bottom="0" percent="0" rank="0" text="" dxfId="1">
      <formula>AND(K15&lt;&gt;"",COUNTIF($AN$6:$AU$64,TRIM(IFERROR(LEFT(K15,FIND("(",K15)-1),K15)))&gt;1)</formula>
    </cfRule>
  </conditionalFormatting>
  <conditionalFormatting sqref="J6">
    <cfRule type="expression" priority="16" aboveAverage="0" equalAverage="0" bottom="0" percent="0" rank="0" text="" dxfId="1">
      <formula>AND(J6&lt;&gt;"",COUNTIF($AN$6:$AU$64,TRIM(IFERROR(LEFT(J6,FIND("(",J6)-1),J6)))&gt;1)</formula>
    </cfRule>
  </conditionalFormatting>
  <conditionalFormatting sqref="L15:L64">
    <cfRule type="expression" priority="17" aboveAverage="0" equalAverage="0" bottom="0" percent="0" rank="0" text="" dxfId="0">
      <formula>L15&lt;&gt;""</formula>
    </cfRule>
  </conditionalFormatting>
  <conditionalFormatting sqref="M15:M64">
    <cfRule type="expression" priority="18" aboveAverage="0" equalAverage="0" bottom="0" percent="0" rank="0" text="" dxfId="1">
      <formula>AND(M15&lt;&gt;"",COUNTIF($AN$6:$AU$64,TRIM(IFERROR(LEFT(M15,FIND("(",M15)-1),M15)))&gt;1)</formula>
    </cfRule>
  </conditionalFormatting>
  <conditionalFormatting sqref="L6">
    <cfRule type="expression" priority="19" aboveAverage="0" equalAverage="0" bottom="0" percent="0" rank="0" text="" dxfId="1">
      <formula>AND(L6&lt;&gt;"",COUNTIF($AN$6:$AU$64,TRIM(IFERROR(LEFT(L6,FIND("(",L6)-1),L6)))&gt;1)</formula>
    </cfRule>
  </conditionalFormatting>
  <conditionalFormatting sqref="N15:N64">
    <cfRule type="expression" priority="20" aboveAverage="0" equalAverage="0" bottom="0" percent="0" rank="0" text="" dxfId="0">
      <formula>N15&lt;&gt;""</formula>
    </cfRule>
  </conditionalFormatting>
  <conditionalFormatting sqref="O15:O64">
    <cfRule type="expression" priority="21" aboveAverage="0" equalAverage="0" bottom="0" percent="0" rank="0" text="" dxfId="1">
      <formula>AND(O15&lt;&gt;"",COUNTIF($AN$6:$AU$64,TRIM(IFERROR(LEFT(O15,FIND("(",O15)-1),O15)))&gt;1)</formula>
    </cfRule>
  </conditionalFormatting>
  <conditionalFormatting sqref="N6">
    <cfRule type="expression" priority="22" aboveAverage="0" equalAverage="0" bottom="0" percent="0" rank="0" text="" dxfId="1">
      <formula>AND(N6&lt;&gt;"",COUNTIF($AN$6:$AU$64,TRIM(IFERROR(LEFT(N6,FIND("(",N6)-1),N6)))&gt;1)</formula>
    </cfRule>
  </conditionalFormatting>
  <conditionalFormatting sqref="P15:P64">
    <cfRule type="expression" priority="23" aboveAverage="0" equalAverage="0" bottom="0" percent="0" rank="0" text="" dxfId="0">
      <formula>P15&lt;&gt;""</formula>
    </cfRule>
  </conditionalFormatting>
  <conditionalFormatting sqref="Q15:Q64">
    <cfRule type="expression" priority="24" aboveAverage="0" equalAverage="0" bottom="0" percent="0" rank="0" text="" dxfId="1">
      <formula>AND(Q15&lt;&gt;"",COUNTIF($AN$6:$AU$64,TRIM(IFERROR(LEFT(Q15,FIND("(",Q15)-1),Q15)))&gt;1)</formula>
    </cfRule>
  </conditionalFormatting>
  <conditionalFormatting sqref="P6">
    <cfRule type="expression" priority="25" aboveAverage="0" equalAverage="0" bottom="0" percent="0" rank="0" text="" dxfId="1">
      <formula>AND(P6&lt;&gt;"",COUNTIF($AN$6:$AU$64,TRIM(IFERROR(LEFT(P6,FIND("(",P6)-1),P6)))&gt;1)</formula>
    </cfRule>
  </conditionalFormatting>
  <dataValidations count="3">
    <dataValidation allowBlank="true" error="Esta responsabilidad no está en Listas. ¿Agregarla? / Not on the Listas tab." errorStyle="warning" errorTitle="No está en la lista" operator="between" showDropDown="false" showErrorMessage="true" showInputMessage="false" sqref="B15:B64 D15:D64 F15:F64 H15:H64 J15:J64 L15:L64 N15:N64 P15:P64" type="list">
      <formula1>Listas!$A$2:$A$60</formula1>
      <formula2>0</formula2>
    </dataValidation>
    <dataValidation allowBlank="true" error="Este nombre no está en Personal (Connecteam). Revisa cómo se escribe. / Name not on the roster." errorStyle="warning" errorTitle="No está en la lista" operator="between" showDropDown="false" showErrorMessage="true" showInputMessage="false" sqref="B6 D6 F6 H6 J6 L6 N6 P6 C15:C64 E15:E64 G15:G64 I15:I64 K15:K64 M15:M64 O15:O64 Q15:Q64" type="list">
      <formula1>Personal!$A$2:$A$400</formula1>
      <formula2>0</formula2>
    </dataValidation>
    <dataValidation allowBlank="true" error="Sitio nuevo: escríbelo en Notas también." errorStyle="warning" errorTitle="No está en la lista" operator="between" showDropDown="false" showErrorMessage="true" showInputMessage="false" sqref="B4 D4 F4 H4 J4 L4 N4 P4" type="list">
      <formula1>Listas!$E$2:$E$12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J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4" min="3" style="0" width="9"/>
    <col collapsed="false" customWidth="true" hidden="false" outlineLevel="0" max="5" min="5" style="0" width="24"/>
    <col collapsed="false" customWidth="true" hidden="false" outlineLevel="0" max="6" min="6" style="0" width="11"/>
    <col collapsed="false" customWidth="true" hidden="false" outlineLevel="0" max="7" min="7" style="0" width="24"/>
    <col collapsed="false" customWidth="true" hidden="false" outlineLevel="0" max="8" min="8" style="0" width="13"/>
    <col collapsed="false" customWidth="true" hidden="false" outlineLevel="0" max="9" min="9" style="0" width="9"/>
    <col collapsed="false" customWidth="true" hidden="false" outlineLevel="0" max="10" min="10" style="0" width="40"/>
  </cols>
  <sheetData>
    <row r="1" customFormat="false" ht="17.35" hidden="false" customHeight="false" outlineLevel="0" collapsed="false">
      <c r="A1" s="1" t="s">
        <v>109</v>
      </c>
      <c r="H1" s="16" t="s">
        <v>110</v>
      </c>
      <c r="I1" s="17" t="str">
        <f aca="false">IF('Plan del Día'!C1="","",'Plan del Día'!C1)</f>
        <v/>
      </c>
    </row>
    <row r="2" customFormat="false" ht="15" hidden="false" customHeight="false" outlineLevel="0" collapsed="false">
      <c r="A2" s="5" t="s">
        <v>111</v>
      </c>
    </row>
    <row r="4" customFormat="false" ht="26.85" hidden="false" customHeight="false" outlineLevel="0" collapsed="false">
      <c r="A4" s="18" t="s">
        <v>112</v>
      </c>
      <c r="B4" s="18" t="s">
        <v>113</v>
      </c>
      <c r="C4" s="18" t="s">
        <v>114</v>
      </c>
      <c r="D4" s="18" t="s">
        <v>115</v>
      </c>
      <c r="E4" s="18" t="s">
        <v>116</v>
      </c>
      <c r="F4" s="18" t="s">
        <v>117</v>
      </c>
      <c r="G4" s="18" t="s">
        <v>118</v>
      </c>
      <c r="H4" s="18" t="s">
        <v>119</v>
      </c>
      <c r="I4" s="18" t="s">
        <v>120</v>
      </c>
      <c r="J4" s="18" t="s">
        <v>121</v>
      </c>
    </row>
    <row r="5" customFormat="false" ht="15" hidden="false" customHeight="false" outlineLevel="0" collapsed="false">
      <c r="A5" s="19" t="str">
        <f aca="false">IF('Plan del Día'!B3="","",'Plan del Día'!B3)</f>
        <v/>
      </c>
      <c r="B5" s="20" t="str">
        <f aca="false">IF('Plan del Día'!B4="","",'Plan del Día'!B4)</f>
        <v/>
      </c>
      <c r="C5" s="20" t="str">
        <f aca="false">IF('Plan del Día'!B5="","",'Plan del Día'!B5)</f>
        <v/>
      </c>
      <c r="D5" s="20" t="str">
        <f aca="false">IF('Plan del Día'!C5="","",'Plan del Día'!C5)</f>
        <v/>
      </c>
      <c r="E5" s="19" t="str">
        <f aca="false">IF('Plan del Día'!B6="","",'Plan del Día'!B6)</f>
        <v/>
      </c>
      <c r="F5" s="20" t="str">
        <f aca="false">IF('Plan del Día'!B13=0,"",'Plan del Día'!B12)</f>
        <v/>
      </c>
      <c r="G5" s="19" t="str">
        <f aca="false">TRIM(IF('Plan del Día'!B7="","",'Plan del Día'!B7&amp;" ×"&amp;'Plan del Día'!C7)&amp;IF('Plan del Día'!B9="",""," · "&amp;'Plan del Día'!B9&amp;" ×"&amp;'Plan del Día'!C9&amp;" "&amp;'Plan del Día'!B10))</f>
        <v/>
      </c>
      <c r="H5" s="20" t="str">
        <f aca="false">IF(N('Plan del Día'!C7)+N('Plan del Día'!C9)=0,"",N('Plan del Día'!C7)+N('Plan del Día'!C9))</f>
        <v/>
      </c>
      <c r="I5" s="20" t="str">
        <f aca="false">IF('Plan del Día'!B13=0,"",'Plan del Día'!B13)</f>
        <v/>
      </c>
      <c r="J5" s="19" t="str">
        <f aca="false">IF('Plan del Día'!B11="","",'Plan del Día'!B11)</f>
        <v/>
      </c>
    </row>
    <row r="6" customFormat="false" ht="15" hidden="false" customHeight="false" outlineLevel="0" collapsed="false">
      <c r="A6" s="19" t="str">
        <f aca="false">IF('Plan del Día'!D3="","",'Plan del Día'!D3)</f>
        <v/>
      </c>
      <c r="B6" s="20" t="str">
        <f aca="false">IF('Plan del Día'!D4="","",'Plan del Día'!D4)</f>
        <v/>
      </c>
      <c r="C6" s="20" t="str">
        <f aca="false">IF('Plan del Día'!D5="","",'Plan del Día'!D5)</f>
        <v/>
      </c>
      <c r="D6" s="20" t="str">
        <f aca="false">IF('Plan del Día'!E5="","",'Plan del Día'!E5)</f>
        <v/>
      </c>
      <c r="E6" s="19" t="str">
        <f aca="false">IF('Plan del Día'!D6="","",'Plan del Día'!D6)</f>
        <v/>
      </c>
      <c r="F6" s="20" t="str">
        <f aca="false">IF('Plan del Día'!D13=0,"",'Plan del Día'!D12)</f>
        <v/>
      </c>
      <c r="G6" s="19" t="str">
        <f aca="false">TRIM(IF('Plan del Día'!D7="","",'Plan del Día'!D7&amp;" ×"&amp;'Plan del Día'!E7)&amp;IF('Plan del Día'!D9="",""," · "&amp;'Plan del Día'!D9&amp;" ×"&amp;'Plan del Día'!E9&amp;" "&amp;'Plan del Día'!D10))</f>
        <v/>
      </c>
      <c r="H6" s="20" t="str">
        <f aca="false">IF(N('Plan del Día'!E7)+N('Plan del Día'!E9)=0,"",N('Plan del Día'!E7)+N('Plan del Día'!E9))</f>
        <v/>
      </c>
      <c r="I6" s="20" t="str">
        <f aca="false">IF('Plan del Día'!D13=0,"",'Plan del Día'!D13)</f>
        <v/>
      </c>
      <c r="J6" s="19" t="str">
        <f aca="false">IF('Plan del Día'!D11="","",'Plan del Día'!D11)</f>
        <v/>
      </c>
    </row>
    <row r="7" customFormat="false" ht="15" hidden="false" customHeight="false" outlineLevel="0" collapsed="false">
      <c r="A7" s="19" t="str">
        <f aca="false">IF('Plan del Día'!F3="","",'Plan del Día'!F3)</f>
        <v/>
      </c>
      <c r="B7" s="20" t="str">
        <f aca="false">IF('Plan del Día'!F4="","",'Plan del Día'!F4)</f>
        <v/>
      </c>
      <c r="C7" s="20" t="str">
        <f aca="false">IF('Plan del Día'!F5="","",'Plan del Día'!F5)</f>
        <v/>
      </c>
      <c r="D7" s="20" t="str">
        <f aca="false">IF('Plan del Día'!G5="","",'Plan del Día'!G5)</f>
        <v/>
      </c>
      <c r="E7" s="19" t="str">
        <f aca="false">IF('Plan del Día'!F6="","",'Plan del Día'!F6)</f>
        <v/>
      </c>
      <c r="F7" s="20" t="str">
        <f aca="false">IF('Plan del Día'!F13=0,"",'Plan del Día'!F12)</f>
        <v/>
      </c>
      <c r="G7" s="19" t="str">
        <f aca="false">TRIM(IF('Plan del Día'!F7="","",'Plan del Día'!F7&amp;" ×"&amp;'Plan del Día'!G7)&amp;IF('Plan del Día'!F9="",""," · "&amp;'Plan del Día'!F9&amp;" ×"&amp;'Plan del Día'!G9&amp;" "&amp;'Plan del Día'!F10))</f>
        <v/>
      </c>
      <c r="H7" s="20" t="str">
        <f aca="false">IF(N('Plan del Día'!G7)+N('Plan del Día'!G9)=0,"",N('Plan del Día'!G7)+N('Plan del Día'!G9))</f>
        <v/>
      </c>
      <c r="I7" s="20" t="str">
        <f aca="false">IF('Plan del Día'!F13=0,"",'Plan del Día'!F13)</f>
        <v/>
      </c>
      <c r="J7" s="19" t="str">
        <f aca="false">IF('Plan del Día'!F11="","",'Plan del Día'!F11)</f>
        <v/>
      </c>
    </row>
    <row r="8" customFormat="false" ht="15" hidden="false" customHeight="false" outlineLevel="0" collapsed="false">
      <c r="A8" s="19" t="str">
        <f aca="false">IF('Plan del Día'!H3="","",'Plan del Día'!H3)</f>
        <v/>
      </c>
      <c r="B8" s="20" t="str">
        <f aca="false">IF('Plan del Día'!H4="","",'Plan del Día'!H4)</f>
        <v/>
      </c>
      <c r="C8" s="20" t="str">
        <f aca="false">IF('Plan del Día'!H5="","",'Plan del Día'!H5)</f>
        <v/>
      </c>
      <c r="D8" s="20" t="str">
        <f aca="false">IF('Plan del Día'!I5="","",'Plan del Día'!I5)</f>
        <v/>
      </c>
      <c r="E8" s="19" t="str">
        <f aca="false">IF('Plan del Día'!H6="","",'Plan del Día'!H6)</f>
        <v/>
      </c>
      <c r="F8" s="20" t="str">
        <f aca="false">IF('Plan del Día'!H13=0,"",'Plan del Día'!H12)</f>
        <v/>
      </c>
      <c r="G8" s="19" t="str">
        <f aca="false">TRIM(IF('Plan del Día'!H7="","",'Plan del Día'!H7&amp;" ×"&amp;'Plan del Día'!I7)&amp;IF('Plan del Día'!H9="",""," · "&amp;'Plan del Día'!H9&amp;" ×"&amp;'Plan del Día'!I9&amp;" "&amp;'Plan del Día'!H10))</f>
        <v/>
      </c>
      <c r="H8" s="20" t="str">
        <f aca="false">IF(N('Plan del Día'!I7)+N('Plan del Día'!I9)=0,"",N('Plan del Día'!I7)+N('Plan del Día'!I9))</f>
        <v/>
      </c>
      <c r="I8" s="20" t="str">
        <f aca="false">IF('Plan del Día'!H13=0,"",'Plan del Día'!H13)</f>
        <v/>
      </c>
      <c r="J8" s="19" t="str">
        <f aca="false">IF('Plan del Día'!H11="","",'Plan del Día'!H11)</f>
        <v/>
      </c>
    </row>
    <row r="9" customFormat="false" ht="15" hidden="false" customHeight="false" outlineLevel="0" collapsed="false">
      <c r="A9" s="19" t="str">
        <f aca="false">IF('Plan del Día'!J3="","",'Plan del Día'!J3)</f>
        <v/>
      </c>
      <c r="B9" s="20" t="str">
        <f aca="false">IF('Plan del Día'!J4="","",'Plan del Día'!J4)</f>
        <v/>
      </c>
      <c r="C9" s="20" t="str">
        <f aca="false">IF('Plan del Día'!J5="","",'Plan del Día'!J5)</f>
        <v/>
      </c>
      <c r="D9" s="20" t="str">
        <f aca="false">IF('Plan del Día'!K5="","",'Plan del Día'!K5)</f>
        <v/>
      </c>
      <c r="E9" s="19" t="str">
        <f aca="false">IF('Plan del Día'!J6="","",'Plan del Día'!J6)</f>
        <v/>
      </c>
      <c r="F9" s="20" t="str">
        <f aca="false">IF('Plan del Día'!J13=0,"",'Plan del Día'!J12)</f>
        <v/>
      </c>
      <c r="G9" s="19" t="str">
        <f aca="false">TRIM(IF('Plan del Día'!J7="","",'Plan del Día'!J7&amp;" ×"&amp;'Plan del Día'!K7)&amp;IF('Plan del Día'!J9="",""," · "&amp;'Plan del Día'!J9&amp;" ×"&amp;'Plan del Día'!K9&amp;" "&amp;'Plan del Día'!J10))</f>
        <v/>
      </c>
      <c r="H9" s="20" t="str">
        <f aca="false">IF(N('Plan del Día'!K7)+N('Plan del Día'!K9)=0,"",N('Plan del Día'!K7)+N('Plan del Día'!K9))</f>
        <v/>
      </c>
      <c r="I9" s="20" t="str">
        <f aca="false">IF('Plan del Día'!J13=0,"",'Plan del Día'!J13)</f>
        <v/>
      </c>
      <c r="J9" s="19" t="str">
        <f aca="false">IF('Plan del Día'!J11="","",'Plan del Día'!J11)</f>
        <v/>
      </c>
    </row>
    <row r="10" customFormat="false" ht="15" hidden="false" customHeight="false" outlineLevel="0" collapsed="false">
      <c r="A10" s="19" t="str">
        <f aca="false">IF('Plan del Día'!L3="","",'Plan del Día'!L3)</f>
        <v/>
      </c>
      <c r="B10" s="20" t="str">
        <f aca="false">IF('Plan del Día'!L4="","",'Plan del Día'!L4)</f>
        <v/>
      </c>
      <c r="C10" s="20" t="str">
        <f aca="false">IF('Plan del Día'!L5="","",'Plan del Día'!L5)</f>
        <v/>
      </c>
      <c r="D10" s="20" t="str">
        <f aca="false">IF('Plan del Día'!M5="","",'Plan del Día'!M5)</f>
        <v/>
      </c>
      <c r="E10" s="19" t="str">
        <f aca="false">IF('Plan del Día'!L6="","",'Plan del Día'!L6)</f>
        <v/>
      </c>
      <c r="F10" s="20" t="str">
        <f aca="false">IF('Plan del Día'!L13=0,"",'Plan del Día'!L12)</f>
        <v/>
      </c>
      <c r="G10" s="19" t="str">
        <f aca="false">TRIM(IF('Plan del Día'!L7="","",'Plan del Día'!L7&amp;" ×"&amp;'Plan del Día'!M7)&amp;IF('Plan del Día'!L9="",""," · "&amp;'Plan del Día'!L9&amp;" ×"&amp;'Plan del Día'!M9&amp;" "&amp;'Plan del Día'!L10))</f>
        <v/>
      </c>
      <c r="H10" s="20" t="str">
        <f aca="false">IF(N('Plan del Día'!M7)+N('Plan del Día'!M9)=0,"",N('Plan del Día'!M7)+N('Plan del Día'!M9))</f>
        <v/>
      </c>
      <c r="I10" s="20" t="str">
        <f aca="false">IF('Plan del Día'!L13=0,"",'Plan del Día'!L13)</f>
        <v/>
      </c>
      <c r="J10" s="19" t="str">
        <f aca="false">IF('Plan del Día'!L11="","",'Plan del Día'!L11)</f>
        <v/>
      </c>
    </row>
    <row r="11" customFormat="false" ht="15" hidden="false" customHeight="false" outlineLevel="0" collapsed="false">
      <c r="A11" s="19" t="str">
        <f aca="false">IF('Plan del Día'!N3="","",'Plan del Día'!N3)</f>
        <v/>
      </c>
      <c r="B11" s="20" t="str">
        <f aca="false">IF('Plan del Día'!N4="","",'Plan del Día'!N4)</f>
        <v/>
      </c>
      <c r="C11" s="20" t="str">
        <f aca="false">IF('Plan del Día'!N5="","",'Plan del Día'!N5)</f>
        <v/>
      </c>
      <c r="D11" s="20" t="str">
        <f aca="false">IF('Plan del Día'!O5="","",'Plan del Día'!O5)</f>
        <v/>
      </c>
      <c r="E11" s="19" t="str">
        <f aca="false">IF('Plan del Día'!N6="","",'Plan del Día'!N6)</f>
        <v/>
      </c>
      <c r="F11" s="20" t="str">
        <f aca="false">IF('Plan del Día'!N13=0,"",'Plan del Día'!N12)</f>
        <v/>
      </c>
      <c r="G11" s="19" t="str">
        <f aca="false">TRIM(IF('Plan del Día'!N7="","",'Plan del Día'!N7&amp;" ×"&amp;'Plan del Día'!O7)&amp;IF('Plan del Día'!N9="",""," · "&amp;'Plan del Día'!N9&amp;" ×"&amp;'Plan del Día'!O9&amp;" "&amp;'Plan del Día'!N10))</f>
        <v/>
      </c>
      <c r="H11" s="20" t="str">
        <f aca="false">IF(N('Plan del Día'!O7)+N('Plan del Día'!O9)=0,"",N('Plan del Día'!O7)+N('Plan del Día'!O9))</f>
        <v/>
      </c>
      <c r="I11" s="20" t="str">
        <f aca="false">IF('Plan del Día'!N13=0,"",'Plan del Día'!N13)</f>
        <v/>
      </c>
      <c r="J11" s="19" t="str">
        <f aca="false">IF('Plan del Día'!N11="","",'Plan del Día'!N11)</f>
        <v/>
      </c>
    </row>
    <row r="12" customFormat="false" ht="15" hidden="false" customHeight="false" outlineLevel="0" collapsed="false">
      <c r="A12" s="19" t="str">
        <f aca="false">IF('Plan del Día'!P3="","",'Plan del Día'!P3)</f>
        <v/>
      </c>
      <c r="B12" s="20" t="str">
        <f aca="false">IF('Plan del Día'!P4="","",'Plan del Día'!P4)</f>
        <v/>
      </c>
      <c r="C12" s="20" t="str">
        <f aca="false">IF('Plan del Día'!P5="","",'Plan del Día'!P5)</f>
        <v/>
      </c>
      <c r="D12" s="20" t="str">
        <f aca="false">IF('Plan del Día'!Q5="","",'Plan del Día'!Q5)</f>
        <v/>
      </c>
      <c r="E12" s="19" t="str">
        <f aca="false">IF('Plan del Día'!P6="","",'Plan del Día'!P6)</f>
        <v/>
      </c>
      <c r="F12" s="20" t="str">
        <f aca="false">IF('Plan del Día'!P13=0,"",'Plan del Día'!P12)</f>
        <v/>
      </c>
      <c r="G12" s="19" t="str">
        <f aca="false">TRIM(IF('Plan del Día'!P7="","",'Plan del Día'!P7&amp;" ×"&amp;'Plan del Día'!Q7)&amp;IF('Plan del Día'!P9="",""," · "&amp;'Plan del Día'!P9&amp;" ×"&amp;'Plan del Día'!Q9&amp;" "&amp;'Plan del Día'!P10))</f>
        <v/>
      </c>
      <c r="H12" s="20" t="str">
        <f aca="false">IF(N('Plan del Día'!Q7)+N('Plan del Día'!Q9)=0,"",N('Plan del Día'!Q7)+N('Plan del Día'!Q9))</f>
        <v/>
      </c>
      <c r="I12" s="20" t="str">
        <f aca="false">IF('Plan del Día'!P13=0,"",'Plan del Día'!P13)</f>
        <v/>
      </c>
      <c r="J12" s="19" t="str">
        <f aca="false">IF('Plan del Día'!P11="","",'Plan del Día'!P11)</f>
        <v/>
      </c>
    </row>
    <row r="13" customFormat="false" ht="15" hidden="false" customHeight="false" outlineLevel="0" collapsed="false">
      <c r="A13" s="16" t="s">
        <v>120</v>
      </c>
      <c r="F13" s="12" t="n">
        <f aca="false">SUM(F5:F12)</f>
        <v>0</v>
      </c>
      <c r="H13" s="12" t="n">
        <f aca="false">SUM(H5:H12)</f>
        <v>0</v>
      </c>
      <c r="I13" s="12" t="n">
        <f aca="false">SUM(I5:I12)</f>
        <v>0</v>
      </c>
    </row>
    <row r="16" customFormat="false" ht="15" hidden="false" customHeight="false" outlineLevel="0" collapsed="false">
      <c r="A16" s="4" t="s">
        <v>122</v>
      </c>
    </row>
    <row r="17" customFormat="false" ht="15" hidden="false" customHeight="false" outlineLevel="0" collapsed="false">
      <c r="A17" s="21" t="s">
        <v>17</v>
      </c>
      <c r="B17" s="21" t="s">
        <v>123</v>
      </c>
    </row>
    <row r="18" customFormat="false" ht="15" hidden="false" customHeight="false" outlineLevel="0" collapsed="false">
      <c r="A18" s="22" t="str">
        <f aca="false">IF(Listas!A2="","",Listas!A2)</f>
        <v>Cortar</v>
      </c>
      <c r="B18" s="22" t="n">
        <f aca="false">IF(A18="","",COUNTIF('Plan del Día'!$AD$15:$AK$64,A18))</f>
        <v>0</v>
      </c>
    </row>
    <row r="19" customFormat="false" ht="15" hidden="false" customHeight="false" outlineLevel="0" collapsed="false">
      <c r="A19" s="22" t="str">
        <f aca="false">IF(Listas!A3="","",Listas!A3)</f>
        <v>Fresh frozen</v>
      </c>
      <c r="B19" s="22" t="n">
        <f aca="false">IF(A19="","",COUNTIF('Plan del Día'!$AD$15:$AK$64,A19))</f>
        <v>0</v>
      </c>
    </row>
    <row r="20" customFormat="false" ht="15" hidden="false" customHeight="false" outlineLevel="0" collapsed="false">
      <c r="A20" s="22" t="str">
        <f aca="false">IF(Listas!A4="","",Listas!A4)</f>
        <v>Colgar</v>
      </c>
      <c r="B20" s="22" t="n">
        <f aca="false">IF(A20="","",COUNTIF('Plan del Día'!$AD$15:$AK$64,A20))</f>
        <v>0</v>
      </c>
    </row>
    <row r="21" customFormat="false" ht="15" hidden="false" customHeight="false" outlineLevel="0" collapsed="false">
      <c r="A21" s="22" t="str">
        <f aca="false">IF(Listas!A5="","",Listas!A5)</f>
        <v>Pesar cajas</v>
      </c>
      <c r="B21" s="22" t="n">
        <f aca="false">IF(A21="","",COUNTIF('Plan del Día'!$AD$15:$AK$64,A21))</f>
        <v>0</v>
      </c>
    </row>
    <row r="22" customFormat="false" ht="15" hidden="false" customHeight="false" outlineLevel="0" collapsed="false">
      <c r="A22" s="22" t="str">
        <f aca="false">IF(Listas!A6="","",Listas!A6)</f>
        <v>Metrc</v>
      </c>
      <c r="B22" s="22" t="n">
        <f aca="false">IF(A22="","",COUNTIF('Plan del Día'!$AD$15:$AK$64,A22))</f>
        <v>0</v>
      </c>
    </row>
    <row r="23" customFormat="false" ht="15" hidden="false" customHeight="false" outlineLevel="0" collapsed="false">
      <c r="A23" s="22" t="str">
        <f aca="false">IF(Listas!A7="","",Listas!A7)</f>
        <v>Cuartos</v>
      </c>
      <c r="B23" s="22" t="n">
        <f aca="false">IF(A23="","",COUNTIF('Plan del Día'!$AD$15:$AK$64,A23))</f>
        <v>0</v>
      </c>
    </row>
    <row r="24" customFormat="false" ht="15" hidden="false" customHeight="false" outlineLevel="0" collapsed="false">
      <c r="A24" s="22" t="str">
        <f aca="false">IF(Listas!A8="","",Listas!A8)</f>
        <v>Descolgar</v>
      </c>
      <c r="B24" s="22" t="n">
        <f aca="false">IF(A24="","",COUNTIF('Plan del Día'!$AD$15:$AK$64,A24))</f>
        <v>0</v>
      </c>
    </row>
    <row r="25" customFormat="false" ht="15" hidden="false" customHeight="false" outlineLevel="0" collapsed="false">
      <c r="A25" s="22" t="str">
        <f aca="false">IF(Listas!A9="","",Listas!A9)</f>
        <v>Destronche</v>
      </c>
      <c r="B25" s="22" t="n">
        <f aca="false">IF(A25="","",COUNTIF('Plan del Día'!$AD$15:$AK$64,A25))</f>
        <v>0</v>
      </c>
    </row>
    <row r="26" customFormat="false" ht="15" hidden="false" customHeight="false" outlineLevel="0" collapsed="false">
      <c r="A26" s="22" t="str">
        <f aca="false">IF(Listas!A10="","",Listas!A10)</f>
        <v>Desoje</v>
      </c>
      <c r="B26" s="22" t="n">
        <f aca="false">IF(A26="","",COUNTIF('Plan del Día'!$AD$15:$AK$64,A26))</f>
        <v>0</v>
      </c>
    </row>
    <row r="27" customFormat="false" ht="15" hidden="false" customHeight="false" outlineLevel="0" collapsed="false">
      <c r="A27" s="22" t="str">
        <f aca="false">IF(Listas!A11="","",Listas!A11)</f>
        <v>Pesar</v>
      </c>
      <c r="B27" s="22" t="n">
        <f aca="false">IF(A27="","",COUNTIF('Plan del Día'!$AD$15:$AK$64,A27))</f>
        <v>0</v>
      </c>
    </row>
    <row r="28" customFormat="false" ht="15" hidden="false" customHeight="false" outlineLevel="0" collapsed="false">
      <c r="A28" s="22" t="str">
        <f aca="false">IF(Listas!A12="","",Listas!A12)</f>
        <v>Comodín proceso</v>
      </c>
      <c r="B28" s="22" t="n">
        <f aca="false">IF(A28="","",COUNTIF('Plan del Día'!$AD$15:$AK$64,A28))</f>
        <v>0</v>
      </c>
    </row>
    <row r="29" customFormat="false" ht="15" hidden="false" customHeight="false" outlineLevel="0" collapsed="false">
      <c r="A29" s="22" t="str">
        <f aca="false">IF(Listas!A13="","",Listas!A13)</f>
        <v>Mobius</v>
      </c>
      <c r="B29" s="22" t="n">
        <f aca="false">IF(A29="","",COUNTIF('Plan del Día'!$AD$15:$AK$64,A29))</f>
        <v>0</v>
      </c>
    </row>
    <row r="30" customFormat="false" ht="15" hidden="false" customHeight="false" outlineLevel="0" collapsed="false">
      <c r="A30" s="22" t="str">
        <f aca="false">IF(Listas!A14="","",Listas!A14)</f>
        <v>Trim</v>
      </c>
      <c r="B30" s="22" t="n">
        <f aca="false">IF(A30="","",COUNTIF('Plan del Día'!$AD$15:$AK$64,A30))</f>
        <v>0</v>
      </c>
    </row>
    <row r="31" customFormat="false" ht="15" hidden="false" customHeight="false" outlineLevel="0" collapsed="false">
      <c r="A31" s="22" t="str">
        <f aca="false">IF(Listas!A15="","",Listas!A15)</f>
        <v>Smalls</v>
      </c>
      <c r="B31" s="22" t="n">
        <f aca="false">IF(A31="","",COUNTIF('Plan del Día'!$AD$15:$AK$64,A31))</f>
        <v>0</v>
      </c>
    </row>
    <row r="32" customFormat="false" ht="15" hidden="false" customHeight="false" outlineLevel="0" collapsed="false">
      <c r="A32" s="22" t="str">
        <f aca="false">IF(Listas!A16="","",Listas!A16)</f>
        <v>Prerolls</v>
      </c>
      <c r="B32" s="22" t="n">
        <f aca="false">IF(A32="","",COUNTIF('Plan del Día'!$AD$15:$AK$64,A32))</f>
        <v>0</v>
      </c>
    </row>
    <row r="33" customFormat="false" ht="15" hidden="false" customHeight="false" outlineLevel="0" collapsed="false">
      <c r="A33" s="22" t="str">
        <f aca="false">IF(Listas!A17="","",Listas!A17)</f>
        <v>Packing</v>
      </c>
      <c r="B33" s="22" t="n">
        <f aca="false">IF(A33="","",COUNTIF('Plan del Día'!$AD$15:$AK$64,A33))</f>
        <v>0</v>
      </c>
    </row>
    <row r="34" customFormat="false" ht="15" hidden="false" customHeight="false" outlineLevel="0" collapsed="false">
      <c r="A34" s="22" t="str">
        <f aca="false">IF(Listas!A18="","",Listas!A18)</f>
        <v>Chofer</v>
      </c>
      <c r="B34" s="22" t="n">
        <f aca="false">IF(A34="","",COUNTIF('Plan del Día'!$AD$15:$AK$64,A34))</f>
        <v>0</v>
      </c>
    </row>
    <row r="35" customFormat="false" ht="15" hidden="false" customHeight="false" outlineLevel="0" collapsed="false">
      <c r="A35" s="22" t="str">
        <f aca="false">IF(Listas!A19="","",Listas!A19)</f>
        <v>Regar</v>
      </c>
      <c r="B35" s="22" t="n">
        <f aca="false">IF(A35="","",COUNTIF('Plan del Día'!$AD$15:$AK$64,A35))</f>
        <v>0</v>
      </c>
    </row>
    <row r="36" customFormat="false" ht="15" hidden="false" customHeight="false" outlineLevel="0" collapsed="false">
      <c r="A36" s="22" t="str">
        <f aca="false">IF(Listas!A20="","",Listas!A20)</f>
        <v>Bomba</v>
      </c>
      <c r="B36" s="22" t="n">
        <f aca="false">IF(A36="","",COUNTIF('Plan del Día'!$AD$15:$AK$64,A36))</f>
        <v>0</v>
      </c>
    </row>
    <row r="37" customFormat="false" ht="15" hidden="false" customHeight="false" outlineLevel="0" collapsed="false">
      <c r="A37" s="22" t="str">
        <f aca="false">IF(Listas!A21="","",Listas!A21)</f>
        <v>Otro</v>
      </c>
      <c r="B37" s="22" t="n">
        <f aca="false">IF(A37="","",COUNTIF('Plan del Día'!$AD$15:$AK$64,A37))</f>
        <v>0</v>
      </c>
    </row>
    <row r="38" customFormat="false" ht="15" hidden="false" customHeight="false" outlineLevel="0" collapsed="false">
      <c r="A38" s="22" t="str">
        <f aca="false">IF(Listas!A22="","",Listas!A22)</f>
        <v/>
      </c>
      <c r="B38" s="22" t="str">
        <f aca="false">IF(A38="","",COUNTIF('Plan del Día'!$AD$15:$AK$64,A38))</f>
        <v/>
      </c>
    </row>
    <row r="39" customFormat="false" ht="15" hidden="false" customHeight="false" outlineLevel="0" collapsed="false">
      <c r="A39" s="22" t="str">
        <f aca="false">IF(Listas!A23="","",Listas!A23)</f>
        <v/>
      </c>
      <c r="B39" s="22" t="str">
        <f aca="false">IF(A39="","",COUNTIF('Plan del Día'!$AD$15:$AK$64,A39))</f>
        <v/>
      </c>
    </row>
    <row r="40" customFormat="false" ht="15" hidden="false" customHeight="false" outlineLevel="0" collapsed="false">
      <c r="A40" s="22" t="str">
        <f aca="false">IF(Listas!A24="","",Listas!A24)</f>
        <v/>
      </c>
      <c r="B40" s="22" t="str">
        <f aca="false">IF(A40="","",COUNTIF('Plan del Día'!$AD$15:$AK$64,A40))</f>
        <v/>
      </c>
    </row>
    <row r="41" customFormat="false" ht="15" hidden="false" customHeight="false" outlineLevel="0" collapsed="false">
      <c r="A41" s="22" t="str">
        <f aca="false">IF(Listas!A25="","",Listas!A25)</f>
        <v/>
      </c>
      <c r="B41" s="22" t="str">
        <f aca="false">IF(A41="","",COUNTIF('Plan del Día'!$AD$15:$AK$64,A41))</f>
        <v/>
      </c>
    </row>
    <row r="42" customFormat="false" ht="15" hidden="false" customHeight="false" outlineLevel="0" collapsed="false">
      <c r="A42" s="22" t="str">
        <f aca="false">IF(Listas!A26="","",Listas!A26)</f>
        <v/>
      </c>
      <c r="B42" s="22" t="str">
        <f aca="false">IF(A42="","",COUNTIF('Plan del Día'!$AD$15:$AK$64,A42))</f>
        <v/>
      </c>
    </row>
    <row r="43" customFormat="false" ht="15" hidden="false" customHeight="false" outlineLevel="0" collapsed="false">
      <c r="A43" s="22" t="str">
        <f aca="false">IF(Listas!A27="","",Listas!A27)</f>
        <v/>
      </c>
      <c r="B43" s="22" t="str">
        <f aca="false">IF(A43="","",COUNTIF('Plan del Día'!$AD$15:$AK$64,A43))</f>
        <v/>
      </c>
    </row>
    <row r="44" customFormat="false" ht="15" hidden="false" customHeight="false" outlineLevel="0" collapsed="false">
      <c r="A44" s="22" t="str">
        <f aca="false">IF(Listas!A28="","",Listas!A28)</f>
        <v/>
      </c>
      <c r="B44" s="22" t="str">
        <f aca="false">IF(A44="","",COUNTIF('Plan del Día'!$AD$15:$AK$64,A44))</f>
        <v/>
      </c>
    </row>
    <row r="45" customFormat="false" ht="15" hidden="false" customHeight="false" outlineLevel="0" collapsed="false">
      <c r="A45" s="22" t="str">
        <f aca="false">IF(Listas!A29="","",Listas!A29)</f>
        <v/>
      </c>
      <c r="B45" s="22" t="str">
        <f aca="false">IF(A45="","",COUNTIF('Plan del Día'!$AD$15:$AK$64,A45))</f>
        <v/>
      </c>
    </row>
    <row r="46" customFormat="false" ht="15" hidden="false" customHeight="false" outlineLevel="0" collapsed="false">
      <c r="A46" s="22" t="str">
        <f aca="false">IF(Listas!A30="","",Listas!A30)</f>
        <v/>
      </c>
      <c r="B46" s="22" t="str">
        <f aca="false">IF(A46="","",COUNTIF('Plan del Día'!$AD$15:$AK$64,A46))</f>
        <v/>
      </c>
    </row>
    <row r="47" customFormat="false" ht="15" hidden="false" customHeight="false" outlineLevel="0" collapsed="false">
      <c r="A47" s="22" t="str">
        <f aca="false">IF(Listas!A31="","",Listas!A31)</f>
        <v/>
      </c>
      <c r="B47" s="22" t="str">
        <f aca="false">IF(A47="","",COUNTIF('Plan del Día'!$AD$15:$AK$64,A47))</f>
        <v/>
      </c>
    </row>
    <row r="48" customFormat="false" ht="15" hidden="false" customHeight="false" outlineLevel="0" collapsed="false">
      <c r="A48" s="22" t="str">
        <f aca="false">IF(Listas!A32="","",Listas!A32)</f>
        <v/>
      </c>
      <c r="B48" s="22" t="str">
        <f aca="false">IF(A48="","",COUNTIF('Plan del Día'!$AD$15:$AK$64,A48))</f>
        <v/>
      </c>
    </row>
    <row r="49" customFormat="false" ht="15" hidden="false" customHeight="false" outlineLevel="0" collapsed="false">
      <c r="A49" s="22" t="str">
        <f aca="false">IF(Listas!A33="","",Listas!A33)</f>
        <v/>
      </c>
      <c r="B49" s="22" t="str">
        <f aca="false">IF(A49="","",COUNTIF('Plan del Día'!$AD$15:$AK$64,A49))</f>
        <v/>
      </c>
    </row>
    <row r="50" customFormat="false" ht="15" hidden="false" customHeight="false" outlineLevel="0" collapsed="false">
      <c r="A50" s="22" t="str">
        <f aca="false">IF(Listas!A34="","",Listas!A34)</f>
        <v/>
      </c>
      <c r="B50" s="22" t="str">
        <f aca="false">IF(A50="","",COUNTIF('Plan del Día'!$AD$15:$AK$64,A50))</f>
        <v/>
      </c>
    </row>
    <row r="51" customFormat="false" ht="15" hidden="false" customHeight="false" outlineLevel="0" collapsed="false">
      <c r="A51" s="22" t="str">
        <f aca="false">IF(Listas!A35="","",Listas!A35)</f>
        <v/>
      </c>
      <c r="B51" s="22" t="str">
        <f aca="false">IF(A51="","",COUNTIF('Plan del Día'!$AD$15:$AK$64,A51))</f>
        <v/>
      </c>
    </row>
    <row r="52" customFormat="false" ht="15" hidden="false" customHeight="false" outlineLevel="0" collapsed="false">
      <c r="A52" s="22" t="str">
        <f aca="false">IF(Listas!A36="","",Listas!A36)</f>
        <v/>
      </c>
      <c r="B52" s="22" t="str">
        <f aca="false">IF(A52="","",COUNTIF('Plan del Día'!$AD$15:$AK$64,A52))</f>
        <v/>
      </c>
    </row>
    <row r="53" customFormat="false" ht="15" hidden="false" customHeight="false" outlineLevel="0" collapsed="false">
      <c r="A53" s="22" t="str">
        <f aca="false">IF(Listas!A37="","",Listas!A37)</f>
        <v/>
      </c>
      <c r="B53" s="22" t="str">
        <f aca="false">IF(A53="","",COUNTIF('Plan del Día'!$AD$15:$AK$64,A53))</f>
        <v/>
      </c>
    </row>
    <row r="54" customFormat="false" ht="15" hidden="false" customHeight="false" outlineLevel="0" collapsed="false">
      <c r="A54" s="22" t="str">
        <f aca="false">IF(Listas!A38="","",Listas!A38)</f>
        <v/>
      </c>
      <c r="B54" s="22" t="str">
        <f aca="false">IF(A54="","",COUNTIF('Plan del Día'!$AD$15:$AK$64,A54))</f>
        <v/>
      </c>
    </row>
    <row r="55" customFormat="false" ht="15" hidden="false" customHeight="false" outlineLevel="0" collapsed="false">
      <c r="A55" s="22" t="str">
        <f aca="false">IF(Listas!A39="","",Listas!A39)</f>
        <v/>
      </c>
      <c r="B55" s="22" t="str">
        <f aca="false">IF(A55="","",COUNTIF('Plan del Día'!$AD$15:$AK$64,A55))</f>
        <v/>
      </c>
    </row>
    <row r="56" customFormat="false" ht="15" hidden="false" customHeight="false" outlineLevel="0" collapsed="false">
      <c r="A56" s="22" t="str">
        <f aca="false">IF(Listas!A40="","",Listas!A40)</f>
        <v/>
      </c>
      <c r="B56" s="22" t="str">
        <f aca="false">IF(A56="","",COUNTIF('Plan del Día'!$AD$15:$AK$64,A56))</f>
        <v/>
      </c>
    </row>
    <row r="57" customFormat="false" ht="15" hidden="false" customHeight="false" outlineLevel="0" collapsed="false">
      <c r="A57" s="22" t="str">
        <f aca="false">IF(Listas!A41="","",Listas!A41)</f>
        <v/>
      </c>
      <c r="B57" s="22" t="str">
        <f aca="false">IF(A57="","",COUNTIF('Plan del Día'!$AD$15:$AK$64,A57))</f>
        <v/>
      </c>
    </row>
    <row r="58" customFormat="false" ht="15" hidden="false" customHeight="false" outlineLevel="0" collapsed="false">
      <c r="A58" s="22" t="s">
        <v>124</v>
      </c>
      <c r="B58" s="22" t="n">
        <f aca="false">COUNTIF('Plan del Día'!$AD$15:$AK$64,"(sin responsabilidad)")</f>
        <v>0</v>
      </c>
    </row>
    <row r="59" customFormat="false" ht="15" hidden="false" customHeight="false" outlineLevel="0" collapsed="false">
      <c r="A59" s="22" t="s">
        <v>125</v>
      </c>
      <c r="B59" s="22" t="n">
        <f aca="false">COUNTIF('Plan del Día'!$AD$15:$AK$64,"?*")-SUM(B18:B58)</f>
        <v>0</v>
      </c>
    </row>
    <row r="60" customFormat="false" ht="15" hidden="false" customHeight="false" outlineLevel="0" collapsed="false">
      <c r="A60" s="23" t="s">
        <v>126</v>
      </c>
    </row>
  </sheetData>
  <conditionalFormatting sqref="A58:B59">
    <cfRule type="expression" priority="2" aboveAverage="0" equalAverage="0" bottom="0" percent="0" rank="0" text="" dxfId="1">
      <formula>$B58&gt;0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127</v>
      </c>
    </row>
    <row r="3" customFormat="false" ht="39.55" hidden="false" customHeight="false" outlineLevel="0" collapsed="false">
      <c r="A3" s="24" t="s">
        <v>128</v>
      </c>
      <c r="B3" s="25" t="s">
        <v>129</v>
      </c>
    </row>
    <row r="4" customFormat="false" ht="39.55" hidden="false" customHeight="false" outlineLevel="0" collapsed="false">
      <c r="A4" s="24" t="s">
        <v>130</v>
      </c>
      <c r="B4" s="25" t="s">
        <v>131</v>
      </c>
    </row>
    <row r="5" customFormat="false" ht="39.55" hidden="false" customHeight="false" outlineLevel="0" collapsed="false">
      <c r="A5" s="24" t="s">
        <v>132</v>
      </c>
      <c r="B5" s="25" t="s">
        <v>133</v>
      </c>
    </row>
    <row r="6" customFormat="false" ht="26.85" hidden="false" customHeight="false" outlineLevel="0" collapsed="false">
      <c r="A6" s="24" t="s">
        <v>113</v>
      </c>
      <c r="B6" s="25" t="s">
        <v>134</v>
      </c>
    </row>
    <row r="7" customFormat="false" ht="26.85" hidden="false" customHeight="false" outlineLevel="0" collapsed="false">
      <c r="A7" s="24" t="s">
        <v>135</v>
      </c>
      <c r="B7" s="25" t="s">
        <v>136</v>
      </c>
    </row>
    <row r="8" customFormat="false" ht="15" hidden="false" customHeight="false" outlineLevel="0" collapsed="false">
      <c r="A8" s="24" t="s">
        <v>137</v>
      </c>
      <c r="B8" s="25" t="s">
        <v>138</v>
      </c>
    </row>
    <row r="9" customFormat="false" ht="26.85" hidden="false" customHeight="false" outlineLevel="0" collapsed="false">
      <c r="A9" s="24" t="s">
        <v>118</v>
      </c>
      <c r="B9" s="25" t="s">
        <v>139</v>
      </c>
    </row>
    <row r="10" customFormat="false" ht="39.55" hidden="false" customHeight="false" outlineLevel="0" collapsed="false">
      <c r="A10" s="24" t="s">
        <v>140</v>
      </c>
      <c r="B10" s="25" t="s">
        <v>141</v>
      </c>
    </row>
    <row r="11" customFormat="false" ht="26.85" hidden="false" customHeight="false" outlineLevel="0" collapsed="false">
      <c r="A11" s="24" t="s">
        <v>142</v>
      </c>
      <c r="B11" s="25" t="s">
        <v>143</v>
      </c>
    </row>
    <row r="12" customFormat="false" ht="26.85" hidden="false" customHeight="false" outlineLevel="0" collapsed="false">
      <c r="A12" s="24" t="s">
        <v>144</v>
      </c>
      <c r="B12" s="25" t="s">
        <v>145</v>
      </c>
    </row>
    <row r="13" customFormat="false" ht="26.85" hidden="false" customHeight="false" outlineLevel="0" collapsed="false">
      <c r="A13" s="24" t="s">
        <v>146</v>
      </c>
      <c r="B13" s="25" t="s">
        <v>147</v>
      </c>
    </row>
    <row r="14" customFormat="false" ht="26.85" hidden="false" customHeight="false" outlineLevel="0" collapsed="false">
      <c r="A14" s="24" t="s">
        <v>148</v>
      </c>
      <c r="B14" s="25" t="s">
        <v>149</v>
      </c>
    </row>
    <row r="15" customFormat="false" ht="26.85" hidden="false" customHeight="false" outlineLevel="0" collapsed="false">
      <c r="A15" s="24" t="s">
        <v>150</v>
      </c>
      <c r="B15" s="25" t="s">
        <v>151</v>
      </c>
    </row>
    <row r="16" customFormat="false" ht="26.85" hidden="false" customHeight="false" outlineLevel="0" collapsed="false">
      <c r="A16" s="24" t="s">
        <v>152</v>
      </c>
      <c r="B16" s="25" t="s">
        <v>153</v>
      </c>
    </row>
    <row r="17" customFormat="false" ht="15" hidden="false" customHeight="false" outlineLevel="0" collapsed="false">
      <c r="A17" s="24" t="s">
        <v>154</v>
      </c>
      <c r="B17" s="25" t="s">
        <v>155</v>
      </c>
    </row>
    <row r="19" customFormat="false" ht="15" hidden="false" customHeight="false" outlineLevel="0" collapsed="false">
      <c r="A19" s="16" t="s">
        <v>156</v>
      </c>
    </row>
    <row r="20" customFormat="false" ht="15" hidden="false" customHeight="false" outlineLevel="0" collapsed="false">
      <c r="A20" s="26" t="s">
        <v>157</v>
      </c>
    </row>
    <row r="21" customFormat="false" ht="15" hidden="false" customHeight="false" outlineLevel="0" collapsed="false">
      <c r="A21" s="27" t="s">
        <v>5</v>
      </c>
    </row>
    <row r="22" customFormat="false" ht="15" hidden="false" customHeight="false" outlineLevel="0" collapsed="false">
      <c r="A22" s="28" t="s">
        <v>8</v>
      </c>
    </row>
    <row r="23" customFormat="false" ht="15" hidden="false" customHeight="false" outlineLevel="0" collapsed="false">
      <c r="A23" s="29" t="s">
        <v>17</v>
      </c>
    </row>
    <row r="24" customFormat="false" ht="15" hidden="false" customHeight="false" outlineLevel="0" collapsed="false">
      <c r="A24" s="30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3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31" t="s">
        <v>17</v>
      </c>
      <c r="B1" s="31" t="s">
        <v>159</v>
      </c>
      <c r="C1" s="31" t="s">
        <v>160</v>
      </c>
      <c r="E1" s="31" t="s">
        <v>6</v>
      </c>
      <c r="G1" s="5" t="s">
        <v>161</v>
      </c>
    </row>
    <row r="2" customFormat="false" ht="15" hidden="false" customHeight="false" outlineLevel="0" collapsed="false">
      <c r="A2" s="32" t="s">
        <v>49</v>
      </c>
      <c r="B2" s="33" t="s">
        <v>162</v>
      </c>
      <c r="C2" s="33" t="s">
        <v>163</v>
      </c>
      <c r="E2" s="33" t="s">
        <v>27</v>
      </c>
    </row>
    <row r="3" customFormat="false" ht="15" hidden="false" customHeight="false" outlineLevel="0" collapsed="false">
      <c r="A3" s="32" t="s">
        <v>53</v>
      </c>
      <c r="B3" s="33" t="s">
        <v>164</v>
      </c>
      <c r="C3" s="33" t="s">
        <v>165</v>
      </c>
      <c r="E3" s="33" t="s">
        <v>166</v>
      </c>
    </row>
    <row r="4" customFormat="false" ht="15" hidden="false" customHeight="false" outlineLevel="0" collapsed="false">
      <c r="A4" s="32" t="s">
        <v>47</v>
      </c>
      <c r="B4" s="33" t="s">
        <v>167</v>
      </c>
      <c r="C4" s="33" t="s">
        <v>168</v>
      </c>
      <c r="E4" s="33" t="s">
        <v>29</v>
      </c>
    </row>
    <row r="5" customFormat="false" ht="15" hidden="false" customHeight="false" outlineLevel="0" collapsed="false">
      <c r="A5" s="32" t="s">
        <v>169</v>
      </c>
      <c r="B5" s="33" t="s">
        <v>170</v>
      </c>
      <c r="C5" s="33" t="s">
        <v>168</v>
      </c>
      <c r="E5" s="33" t="s">
        <v>28</v>
      </c>
    </row>
    <row r="6" customFormat="false" ht="15" hidden="false" customHeight="false" outlineLevel="0" collapsed="false">
      <c r="A6" s="32" t="s">
        <v>171</v>
      </c>
      <c r="B6" s="33" t="s">
        <v>172</v>
      </c>
      <c r="C6" s="33" t="s">
        <v>173</v>
      </c>
      <c r="E6" s="33" t="s">
        <v>174</v>
      </c>
    </row>
    <row r="7" customFormat="false" ht="15" hidden="false" customHeight="false" outlineLevel="0" collapsed="false">
      <c r="A7" s="32" t="s">
        <v>88</v>
      </c>
      <c r="B7" s="33" t="s">
        <v>175</v>
      </c>
      <c r="C7" s="33" t="s">
        <v>176</v>
      </c>
      <c r="E7" s="33" t="s">
        <v>30</v>
      </c>
    </row>
    <row r="8" customFormat="false" ht="15" hidden="false" customHeight="false" outlineLevel="0" collapsed="false">
      <c r="A8" s="32" t="s">
        <v>177</v>
      </c>
      <c r="B8" s="33" t="s">
        <v>178</v>
      </c>
      <c r="C8" s="33" t="s">
        <v>179</v>
      </c>
      <c r="E8" s="33" t="s">
        <v>180</v>
      </c>
    </row>
    <row r="9" customFormat="false" ht="15" hidden="false" customHeight="false" outlineLevel="0" collapsed="false">
      <c r="A9" s="32" t="s">
        <v>44</v>
      </c>
      <c r="B9" s="33" t="s">
        <v>181</v>
      </c>
      <c r="C9" s="33" t="s">
        <v>182</v>
      </c>
      <c r="E9" s="33" t="s">
        <v>183</v>
      </c>
    </row>
    <row r="10" customFormat="false" ht="15" hidden="false" customHeight="false" outlineLevel="0" collapsed="false">
      <c r="A10" s="32" t="s">
        <v>80</v>
      </c>
      <c r="B10" s="33" t="s">
        <v>184</v>
      </c>
      <c r="C10" s="33" t="s">
        <v>182</v>
      </c>
    </row>
    <row r="11" customFormat="false" ht="15" hidden="false" customHeight="false" outlineLevel="0" collapsed="false">
      <c r="A11" s="32" t="s">
        <v>103</v>
      </c>
      <c r="B11" s="33" t="s">
        <v>185</v>
      </c>
      <c r="C11" s="33" t="s">
        <v>182</v>
      </c>
    </row>
    <row r="12" customFormat="false" ht="15" hidden="false" customHeight="false" outlineLevel="0" collapsed="false">
      <c r="A12" s="32" t="s">
        <v>105</v>
      </c>
      <c r="B12" s="33" t="s">
        <v>186</v>
      </c>
      <c r="C12" s="33" t="s">
        <v>182</v>
      </c>
    </row>
    <row r="13" customFormat="false" ht="15" hidden="false" customHeight="false" outlineLevel="0" collapsed="false">
      <c r="A13" s="32" t="s">
        <v>107</v>
      </c>
      <c r="B13" s="33" t="s">
        <v>187</v>
      </c>
      <c r="C13" s="33" t="s">
        <v>188</v>
      </c>
    </row>
    <row r="14" customFormat="false" ht="15" hidden="false" customHeight="false" outlineLevel="0" collapsed="false">
      <c r="A14" s="32" t="s">
        <v>189</v>
      </c>
      <c r="B14" s="33" t="s">
        <v>190</v>
      </c>
      <c r="C14" s="33" t="s">
        <v>191</v>
      </c>
    </row>
    <row r="15" customFormat="false" ht="15" hidden="false" customHeight="false" outlineLevel="0" collapsed="false">
      <c r="A15" s="32" t="s">
        <v>192</v>
      </c>
      <c r="B15" s="33" t="s">
        <v>193</v>
      </c>
      <c r="C15" s="33" t="s">
        <v>194</v>
      </c>
    </row>
    <row r="16" customFormat="false" ht="15" hidden="false" customHeight="false" outlineLevel="0" collapsed="false">
      <c r="A16" s="32" t="s">
        <v>21</v>
      </c>
      <c r="B16" s="33" t="s">
        <v>195</v>
      </c>
      <c r="C16" s="33" t="s">
        <v>196</v>
      </c>
    </row>
    <row r="17" customFormat="false" ht="15" hidden="false" customHeight="false" outlineLevel="0" collapsed="false">
      <c r="A17" s="32" t="s">
        <v>70</v>
      </c>
      <c r="B17" s="33" t="s">
        <v>70</v>
      </c>
      <c r="C17" s="33" t="s">
        <v>173</v>
      </c>
    </row>
    <row r="18" customFormat="false" ht="15" hidden="false" customHeight="false" outlineLevel="0" collapsed="false">
      <c r="A18" s="32" t="s">
        <v>90</v>
      </c>
      <c r="B18" s="33" t="s">
        <v>197</v>
      </c>
      <c r="C18" s="33" t="s">
        <v>198</v>
      </c>
    </row>
    <row r="19" customFormat="false" ht="15" hidden="false" customHeight="false" outlineLevel="0" collapsed="false">
      <c r="A19" s="32" t="s">
        <v>51</v>
      </c>
      <c r="B19" s="33" t="s">
        <v>25</v>
      </c>
      <c r="C19" s="33" t="s">
        <v>176</v>
      </c>
    </row>
    <row r="20" customFormat="false" ht="15" hidden="false" customHeight="false" outlineLevel="0" collapsed="false">
      <c r="A20" s="32" t="s">
        <v>199</v>
      </c>
      <c r="B20" s="33" t="s">
        <v>200</v>
      </c>
      <c r="C20" s="33" t="s">
        <v>176</v>
      </c>
    </row>
    <row r="21" customFormat="false" ht="15" hidden="false" customHeight="false" outlineLevel="0" collapsed="false">
      <c r="A21" s="32" t="s">
        <v>183</v>
      </c>
      <c r="B21" s="33" t="s">
        <v>201</v>
      </c>
      <c r="C21" s="33" t="s">
        <v>176</v>
      </c>
    </row>
    <row r="22" customFormat="false" ht="15" hidden="false" customHeight="false" outlineLevel="0" collapsed="false">
      <c r="A22" s="34"/>
    </row>
    <row r="23" customFormat="false" ht="15" hidden="false" customHeight="false" outlineLevel="0" collapsed="false">
      <c r="A23" s="34"/>
    </row>
    <row r="24" customFormat="false" ht="15" hidden="false" customHeight="false" outlineLevel="0" collapsed="false">
      <c r="A24" s="34"/>
    </row>
    <row r="25" customFormat="false" ht="15" hidden="false" customHeight="false" outlineLevel="0" collapsed="false">
      <c r="A25" s="34"/>
    </row>
    <row r="26" customFormat="false" ht="15" hidden="false" customHeight="false" outlineLevel="0" collapsed="false">
      <c r="A26" s="34"/>
    </row>
    <row r="27" customFormat="false" ht="15" hidden="false" customHeight="false" outlineLevel="0" collapsed="false">
      <c r="A27" s="34"/>
    </row>
    <row r="28" customFormat="false" ht="15" hidden="false" customHeight="false" outlineLevel="0" collapsed="false">
      <c r="A28" s="34"/>
    </row>
    <row r="29" customFormat="false" ht="15" hidden="false" customHeight="false" outlineLevel="0" collapsed="false">
      <c r="A29" s="34"/>
    </row>
    <row r="30" customFormat="false" ht="15" hidden="false" customHeight="false" outlineLevel="0" collapsed="false">
      <c r="A30" s="34"/>
    </row>
    <row r="31" customFormat="false" ht="15" hidden="false" customHeight="false" outlineLevel="0" collapsed="false">
      <c r="A31" s="34"/>
    </row>
    <row r="32" customFormat="false" ht="15" hidden="false" customHeight="false" outlineLevel="0" collapsed="false">
      <c r="A32" s="34"/>
    </row>
    <row r="33" customFormat="false" ht="15" hidden="false" customHeight="false" outlineLevel="0" collapsed="false">
      <c r="A33" s="34"/>
    </row>
    <row r="34" customFormat="false" ht="15" hidden="false" customHeight="false" outlineLevel="0" collapsed="false">
      <c r="A34" s="34"/>
    </row>
    <row r="35" customFormat="false" ht="15" hidden="false" customHeight="false" outlineLevel="0" collapsed="false">
      <c r="A35" s="34"/>
    </row>
    <row r="36" customFormat="false" ht="15" hidden="false" customHeight="false" outlineLevel="0" collapsed="false">
      <c r="A36" s="34"/>
    </row>
    <row r="37" customFormat="false" ht="15" hidden="false" customHeight="false" outlineLevel="0" collapsed="false">
      <c r="A37" s="34"/>
    </row>
    <row r="38" customFormat="false" ht="15" hidden="false" customHeight="false" outlineLevel="0" collapsed="false">
      <c r="A38" s="34"/>
    </row>
    <row r="39" customFormat="false" ht="15" hidden="false" customHeight="false" outlineLevel="0" collapsed="false">
      <c r="A39" s="34"/>
    </row>
    <row r="40" customFormat="false" ht="15" hidden="false" customHeight="false" outlineLevel="0" collapsed="false">
      <c r="A40" s="34"/>
    </row>
    <row r="41" customFormat="false" ht="15" hidden="false" customHeight="false" outlineLevel="0" collapsed="false">
      <c r="A41" s="34"/>
    </row>
    <row r="42" customFormat="false" ht="15" hidden="false" customHeight="false" outlineLevel="0" collapsed="false">
      <c r="A42" s="34"/>
    </row>
    <row r="43" customFormat="false" ht="15" hidden="false" customHeight="false" outlineLevel="0" collapsed="false">
      <c r="A43" s="34"/>
    </row>
    <row r="44" customFormat="false" ht="15" hidden="false" customHeight="false" outlineLevel="0" collapsed="false">
      <c r="A44" s="34"/>
    </row>
    <row r="45" customFormat="false" ht="15" hidden="false" customHeight="false" outlineLevel="0" collapsed="false">
      <c r="A45" s="34"/>
    </row>
    <row r="46" customFormat="false" ht="15" hidden="false" customHeight="false" outlineLevel="0" collapsed="false">
      <c r="A46" s="34"/>
    </row>
    <row r="47" customFormat="false" ht="15" hidden="false" customHeight="false" outlineLevel="0" collapsed="false">
      <c r="A47" s="34"/>
    </row>
    <row r="48" customFormat="false" ht="15" hidden="false" customHeight="false" outlineLevel="0" collapsed="false">
      <c r="A48" s="34"/>
    </row>
    <row r="49" customFormat="false" ht="15" hidden="false" customHeight="false" outlineLevel="0" collapsed="false">
      <c r="A49" s="34"/>
    </row>
    <row r="50" customFormat="false" ht="15" hidden="false" customHeight="false" outlineLevel="0" collapsed="false">
      <c r="A50" s="34"/>
    </row>
    <row r="51" customFormat="false" ht="15" hidden="false" customHeight="false" outlineLevel="0" collapsed="false">
      <c r="A51" s="34"/>
    </row>
    <row r="52" customFormat="false" ht="15" hidden="false" customHeight="false" outlineLevel="0" collapsed="false">
      <c r="A52" s="34"/>
    </row>
    <row r="53" customFormat="false" ht="15" hidden="false" customHeight="false" outlineLevel="0" collapsed="false">
      <c r="A53" s="34"/>
    </row>
    <row r="54" customFormat="false" ht="15" hidden="false" customHeight="false" outlineLevel="0" collapsed="false">
      <c r="A54" s="34"/>
    </row>
    <row r="55" customFormat="false" ht="15" hidden="false" customHeight="false" outlineLevel="0" collapsed="false">
      <c r="A55" s="34"/>
    </row>
    <row r="56" customFormat="false" ht="15" hidden="false" customHeight="false" outlineLevel="0" collapsed="false">
      <c r="A56" s="34"/>
    </row>
    <row r="57" customFormat="false" ht="15" hidden="false" customHeight="false" outlineLevel="0" collapsed="false">
      <c r="A57" s="34"/>
    </row>
    <row r="58" customFormat="false" ht="15" hidden="false" customHeight="false" outlineLevel="0" collapsed="false">
      <c r="A58" s="34"/>
    </row>
    <row r="59" customFormat="false" ht="15" hidden="false" customHeight="false" outlineLevel="0" collapsed="false">
      <c r="A59" s="34"/>
    </row>
    <row r="60" customFormat="false" ht="15" hidden="false" customHeight="false" outlineLevel="0" collapsed="false">
      <c r="A60" s="3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</cols>
  <sheetData>
    <row r="1" customFormat="false" ht="15" hidden="false" customHeight="false" outlineLevel="0" collapsed="false">
      <c r="A1" s="31" t="s">
        <v>202</v>
      </c>
      <c r="C1" s="5" t="s">
        <v>203</v>
      </c>
    </row>
    <row r="2" customFormat="false" ht="15" hidden="false" customHeight="false" outlineLevel="0" collapsed="false">
      <c r="A2" s="33" t="s">
        <v>204</v>
      </c>
    </row>
    <row r="3" customFormat="false" ht="15" hidden="false" customHeight="false" outlineLevel="0" collapsed="false">
      <c r="A3" s="33" t="s">
        <v>205</v>
      </c>
    </row>
    <row r="4" customFormat="false" ht="15" hidden="false" customHeight="false" outlineLevel="0" collapsed="false">
      <c r="A4" s="33" t="s">
        <v>206</v>
      </c>
    </row>
    <row r="5" customFormat="false" ht="15" hidden="false" customHeight="false" outlineLevel="0" collapsed="false">
      <c r="A5" s="33" t="s">
        <v>207</v>
      </c>
    </row>
    <row r="6" customFormat="false" ht="15" hidden="false" customHeight="false" outlineLevel="0" collapsed="false">
      <c r="A6" s="33" t="s">
        <v>208</v>
      </c>
    </row>
    <row r="7" customFormat="false" ht="15" hidden="false" customHeight="false" outlineLevel="0" collapsed="false">
      <c r="A7" s="33" t="s">
        <v>82</v>
      </c>
    </row>
    <row r="8" customFormat="false" ht="15" hidden="false" customHeight="false" outlineLevel="0" collapsed="false">
      <c r="A8" s="33" t="s">
        <v>209</v>
      </c>
    </row>
    <row r="9" customFormat="false" ht="15" hidden="false" customHeight="false" outlineLevel="0" collapsed="false">
      <c r="A9" s="33" t="s">
        <v>210</v>
      </c>
    </row>
    <row r="10" customFormat="false" ht="15" hidden="false" customHeight="false" outlineLevel="0" collapsed="false">
      <c r="A10" s="33" t="s">
        <v>108</v>
      </c>
    </row>
    <row r="11" customFormat="false" ht="15" hidden="false" customHeight="false" outlineLevel="0" collapsed="false">
      <c r="A11" s="33" t="s">
        <v>92</v>
      </c>
    </row>
    <row r="12" customFormat="false" ht="15" hidden="false" customHeight="false" outlineLevel="0" collapsed="false">
      <c r="A12" s="33" t="s">
        <v>211</v>
      </c>
    </row>
    <row r="13" customFormat="false" ht="15" hidden="false" customHeight="false" outlineLevel="0" collapsed="false">
      <c r="A13" s="33" t="s">
        <v>79</v>
      </c>
    </row>
    <row r="14" customFormat="false" ht="15" hidden="false" customHeight="false" outlineLevel="0" collapsed="false">
      <c r="A14" s="33" t="s">
        <v>212</v>
      </c>
    </row>
    <row r="15" customFormat="false" ht="15" hidden="false" customHeight="false" outlineLevel="0" collapsed="false">
      <c r="A15" s="33" t="s">
        <v>66</v>
      </c>
    </row>
    <row r="16" customFormat="false" ht="15" hidden="false" customHeight="false" outlineLevel="0" collapsed="false">
      <c r="A16" s="33" t="s">
        <v>54</v>
      </c>
    </row>
    <row r="17" customFormat="false" ht="15" hidden="false" customHeight="false" outlineLevel="0" collapsed="false">
      <c r="A17" s="33" t="s">
        <v>213</v>
      </c>
    </row>
    <row r="18" customFormat="false" ht="15" hidden="false" customHeight="false" outlineLevel="0" collapsed="false">
      <c r="A18" s="33" t="s">
        <v>214</v>
      </c>
    </row>
    <row r="19" customFormat="false" ht="15" hidden="false" customHeight="false" outlineLevel="0" collapsed="false">
      <c r="A19" s="33" t="s">
        <v>215</v>
      </c>
    </row>
    <row r="20" customFormat="false" ht="15" hidden="false" customHeight="false" outlineLevel="0" collapsed="false">
      <c r="A20" s="33" t="s">
        <v>216</v>
      </c>
    </row>
    <row r="21" customFormat="false" ht="15" hidden="false" customHeight="false" outlineLevel="0" collapsed="false">
      <c r="A21" s="33" t="s">
        <v>217</v>
      </c>
    </row>
    <row r="22" customFormat="false" ht="15" hidden="false" customHeight="false" outlineLevel="0" collapsed="false">
      <c r="A22" s="33" t="s">
        <v>218</v>
      </c>
    </row>
    <row r="23" customFormat="false" ht="15" hidden="false" customHeight="false" outlineLevel="0" collapsed="false">
      <c r="A23" s="33" t="s">
        <v>219</v>
      </c>
    </row>
    <row r="24" customFormat="false" ht="15" hidden="false" customHeight="false" outlineLevel="0" collapsed="false">
      <c r="A24" s="33" t="s">
        <v>220</v>
      </c>
    </row>
    <row r="25" customFormat="false" ht="15" hidden="false" customHeight="false" outlineLevel="0" collapsed="false">
      <c r="A25" s="33" t="s">
        <v>221</v>
      </c>
    </row>
    <row r="26" customFormat="false" ht="15" hidden="false" customHeight="false" outlineLevel="0" collapsed="false">
      <c r="A26" s="33" t="s">
        <v>55</v>
      </c>
    </row>
    <row r="27" customFormat="false" ht="15" hidden="false" customHeight="false" outlineLevel="0" collapsed="false">
      <c r="A27" s="33" t="s">
        <v>56</v>
      </c>
    </row>
    <row r="28" customFormat="false" ht="15" hidden="false" customHeight="false" outlineLevel="0" collapsed="false">
      <c r="A28" s="33" t="s">
        <v>64</v>
      </c>
    </row>
    <row r="29" customFormat="false" ht="15" hidden="false" customHeight="false" outlineLevel="0" collapsed="false">
      <c r="A29" s="33" t="s">
        <v>222</v>
      </c>
    </row>
    <row r="30" customFormat="false" ht="15" hidden="false" customHeight="false" outlineLevel="0" collapsed="false">
      <c r="A30" s="33" t="s">
        <v>223</v>
      </c>
    </row>
    <row r="31" customFormat="false" ht="15" hidden="false" customHeight="false" outlineLevel="0" collapsed="false">
      <c r="A31" s="33" t="s">
        <v>224</v>
      </c>
    </row>
    <row r="32" customFormat="false" ht="15" hidden="false" customHeight="false" outlineLevel="0" collapsed="false">
      <c r="A32" s="33" t="s">
        <v>225</v>
      </c>
    </row>
    <row r="33" customFormat="false" ht="15" hidden="false" customHeight="false" outlineLevel="0" collapsed="false">
      <c r="A33" s="33" t="s">
        <v>101</v>
      </c>
    </row>
    <row r="34" customFormat="false" ht="15" hidden="false" customHeight="false" outlineLevel="0" collapsed="false">
      <c r="A34" s="33" t="s">
        <v>226</v>
      </c>
    </row>
    <row r="35" customFormat="false" ht="15" hidden="false" customHeight="false" outlineLevel="0" collapsed="false">
      <c r="A35" s="33" t="s">
        <v>227</v>
      </c>
    </row>
    <row r="36" customFormat="false" ht="15" hidden="false" customHeight="false" outlineLevel="0" collapsed="false">
      <c r="A36" s="33" t="s">
        <v>228</v>
      </c>
    </row>
    <row r="37" customFormat="false" ht="15" hidden="false" customHeight="false" outlineLevel="0" collapsed="false">
      <c r="A37" s="33" t="s">
        <v>59</v>
      </c>
    </row>
    <row r="38" customFormat="false" ht="15" hidden="false" customHeight="false" outlineLevel="0" collapsed="false">
      <c r="A38" s="33" t="s">
        <v>229</v>
      </c>
    </row>
    <row r="39" customFormat="false" ht="15" hidden="false" customHeight="false" outlineLevel="0" collapsed="false">
      <c r="A39" s="33" t="s">
        <v>230</v>
      </c>
    </row>
    <row r="40" customFormat="false" ht="15" hidden="false" customHeight="false" outlineLevel="0" collapsed="false">
      <c r="A40" s="33" t="s">
        <v>67</v>
      </c>
    </row>
    <row r="41" customFormat="false" ht="15" hidden="false" customHeight="false" outlineLevel="0" collapsed="false">
      <c r="A41" s="33" t="s">
        <v>231</v>
      </c>
    </row>
    <row r="42" customFormat="false" ht="15" hidden="false" customHeight="false" outlineLevel="0" collapsed="false">
      <c r="A42" s="33" t="s">
        <v>232</v>
      </c>
    </row>
    <row r="43" customFormat="false" ht="15" hidden="false" customHeight="false" outlineLevel="0" collapsed="false">
      <c r="A43" s="33" t="s">
        <v>233</v>
      </c>
    </row>
    <row r="44" customFormat="false" ht="15" hidden="false" customHeight="false" outlineLevel="0" collapsed="false">
      <c r="A44" s="33" t="s">
        <v>234</v>
      </c>
    </row>
    <row r="45" customFormat="false" ht="15" hidden="false" customHeight="false" outlineLevel="0" collapsed="false">
      <c r="A45" s="33" t="s">
        <v>235</v>
      </c>
    </row>
    <row r="46" customFormat="false" ht="15" hidden="false" customHeight="false" outlineLevel="0" collapsed="false">
      <c r="A46" s="33" t="s">
        <v>236</v>
      </c>
    </row>
    <row r="47" customFormat="false" ht="15" hidden="false" customHeight="false" outlineLevel="0" collapsed="false">
      <c r="A47" s="33" t="s">
        <v>237</v>
      </c>
    </row>
    <row r="48" customFormat="false" ht="15" hidden="false" customHeight="false" outlineLevel="0" collapsed="false">
      <c r="A48" s="33" t="s">
        <v>238</v>
      </c>
    </row>
    <row r="49" customFormat="false" ht="15" hidden="false" customHeight="false" outlineLevel="0" collapsed="false">
      <c r="A49" s="33" t="s">
        <v>69</v>
      </c>
    </row>
    <row r="50" customFormat="false" ht="15" hidden="false" customHeight="false" outlineLevel="0" collapsed="false">
      <c r="A50" s="33" t="s">
        <v>239</v>
      </c>
    </row>
    <row r="51" customFormat="false" ht="15" hidden="false" customHeight="false" outlineLevel="0" collapsed="false">
      <c r="A51" s="33" t="s">
        <v>106</v>
      </c>
    </row>
    <row r="52" customFormat="false" ht="15" hidden="false" customHeight="false" outlineLevel="0" collapsed="false">
      <c r="A52" s="33" t="s">
        <v>240</v>
      </c>
    </row>
    <row r="53" customFormat="false" ht="15" hidden="false" customHeight="false" outlineLevel="0" collapsed="false">
      <c r="A53" s="33" t="s">
        <v>241</v>
      </c>
    </row>
    <row r="54" customFormat="false" ht="15" hidden="false" customHeight="false" outlineLevel="0" collapsed="false">
      <c r="A54" s="33" t="s">
        <v>78</v>
      </c>
    </row>
    <row r="55" customFormat="false" ht="15" hidden="false" customHeight="false" outlineLevel="0" collapsed="false">
      <c r="A55" s="33" t="s">
        <v>242</v>
      </c>
    </row>
    <row r="56" customFormat="false" ht="15" hidden="false" customHeight="false" outlineLevel="0" collapsed="false">
      <c r="A56" s="33" t="s">
        <v>58</v>
      </c>
    </row>
    <row r="57" customFormat="false" ht="15" hidden="false" customHeight="false" outlineLevel="0" collapsed="false">
      <c r="A57" s="33" t="s">
        <v>243</v>
      </c>
    </row>
    <row r="58" customFormat="false" ht="15" hidden="false" customHeight="false" outlineLevel="0" collapsed="false">
      <c r="A58" s="33" t="s">
        <v>244</v>
      </c>
    </row>
    <row r="59" customFormat="false" ht="15" hidden="false" customHeight="false" outlineLevel="0" collapsed="false">
      <c r="A59" s="33" t="s">
        <v>245</v>
      </c>
    </row>
    <row r="60" customFormat="false" ht="15" hidden="false" customHeight="false" outlineLevel="0" collapsed="false">
      <c r="A60" s="33" t="s">
        <v>246</v>
      </c>
    </row>
    <row r="61" customFormat="false" ht="15" hidden="false" customHeight="false" outlineLevel="0" collapsed="false">
      <c r="A61" s="33" t="s">
        <v>83</v>
      </c>
    </row>
    <row r="62" customFormat="false" ht="15" hidden="false" customHeight="false" outlineLevel="0" collapsed="false">
      <c r="A62" s="33" t="s">
        <v>247</v>
      </c>
    </row>
    <row r="63" customFormat="false" ht="15" hidden="false" customHeight="false" outlineLevel="0" collapsed="false">
      <c r="A63" s="33" t="s">
        <v>85</v>
      </c>
    </row>
    <row r="64" customFormat="false" ht="15" hidden="false" customHeight="false" outlineLevel="0" collapsed="false">
      <c r="A64" s="33" t="s">
        <v>248</v>
      </c>
    </row>
    <row r="65" customFormat="false" ht="15" hidden="false" customHeight="false" outlineLevel="0" collapsed="false">
      <c r="A65" s="33" t="s">
        <v>249</v>
      </c>
    </row>
    <row r="66" customFormat="false" ht="15" hidden="false" customHeight="false" outlineLevel="0" collapsed="false">
      <c r="A66" s="33" t="s">
        <v>77</v>
      </c>
    </row>
    <row r="67" customFormat="false" ht="15" hidden="false" customHeight="false" outlineLevel="0" collapsed="false">
      <c r="A67" s="33" t="s">
        <v>250</v>
      </c>
    </row>
    <row r="68" customFormat="false" ht="15" hidden="false" customHeight="false" outlineLevel="0" collapsed="false">
      <c r="A68" s="33" t="s">
        <v>251</v>
      </c>
    </row>
    <row r="69" customFormat="false" ht="15" hidden="false" customHeight="false" outlineLevel="0" collapsed="false">
      <c r="A69" s="33" t="s">
        <v>102</v>
      </c>
    </row>
    <row r="70" customFormat="false" ht="15" hidden="false" customHeight="false" outlineLevel="0" collapsed="false">
      <c r="A70" s="33" t="s">
        <v>252</v>
      </c>
    </row>
    <row r="71" customFormat="false" ht="15" hidden="false" customHeight="false" outlineLevel="0" collapsed="false">
      <c r="A71" s="33" t="s">
        <v>253</v>
      </c>
    </row>
    <row r="72" customFormat="false" ht="15" hidden="false" customHeight="false" outlineLevel="0" collapsed="false">
      <c r="A72" s="33" t="s">
        <v>104</v>
      </c>
    </row>
    <row r="73" customFormat="false" ht="15" hidden="false" customHeight="false" outlineLevel="0" collapsed="false">
      <c r="A73" s="33" t="s">
        <v>254</v>
      </c>
    </row>
    <row r="74" customFormat="false" ht="15" hidden="false" customHeight="false" outlineLevel="0" collapsed="false">
      <c r="A74" s="33" t="s">
        <v>255</v>
      </c>
    </row>
    <row r="75" customFormat="false" ht="15" hidden="false" customHeight="false" outlineLevel="0" collapsed="false">
      <c r="A75" s="33" t="s">
        <v>256</v>
      </c>
    </row>
    <row r="76" customFormat="false" ht="15" hidden="false" customHeight="false" outlineLevel="0" collapsed="false">
      <c r="A76" s="33" t="s">
        <v>257</v>
      </c>
    </row>
    <row r="77" customFormat="false" ht="15" hidden="false" customHeight="false" outlineLevel="0" collapsed="false">
      <c r="A77" s="33" t="s">
        <v>258</v>
      </c>
    </row>
    <row r="78" customFormat="false" ht="15" hidden="false" customHeight="false" outlineLevel="0" collapsed="false">
      <c r="A78" s="33" t="s">
        <v>259</v>
      </c>
    </row>
    <row r="79" customFormat="false" ht="15" hidden="false" customHeight="false" outlineLevel="0" collapsed="false">
      <c r="A79" s="33" t="s">
        <v>260</v>
      </c>
    </row>
    <row r="80" customFormat="false" ht="15" hidden="false" customHeight="false" outlineLevel="0" collapsed="false">
      <c r="A80" s="33" t="s">
        <v>98</v>
      </c>
    </row>
    <row r="81" customFormat="false" ht="15" hidden="false" customHeight="false" outlineLevel="0" collapsed="false">
      <c r="A81" s="33" t="s">
        <v>261</v>
      </c>
    </row>
    <row r="82" customFormat="false" ht="15" hidden="false" customHeight="false" outlineLevel="0" collapsed="false">
      <c r="A82" s="33" t="s">
        <v>262</v>
      </c>
    </row>
    <row r="83" customFormat="false" ht="15" hidden="false" customHeight="false" outlineLevel="0" collapsed="false">
      <c r="A83" s="33" t="s">
        <v>263</v>
      </c>
    </row>
    <row r="84" customFormat="false" ht="15" hidden="false" customHeight="false" outlineLevel="0" collapsed="false">
      <c r="A84" s="33" t="s">
        <v>264</v>
      </c>
    </row>
    <row r="85" customFormat="false" ht="15" hidden="false" customHeight="false" outlineLevel="0" collapsed="false">
      <c r="A85" s="33" t="s">
        <v>265</v>
      </c>
    </row>
    <row r="86" customFormat="false" ht="15" hidden="false" customHeight="false" outlineLevel="0" collapsed="false">
      <c r="A86" s="33" t="s">
        <v>266</v>
      </c>
    </row>
    <row r="87" customFormat="false" ht="15" hidden="false" customHeight="false" outlineLevel="0" collapsed="false">
      <c r="A87" s="33" t="s">
        <v>267</v>
      </c>
    </row>
    <row r="88" customFormat="false" ht="15" hidden="false" customHeight="false" outlineLevel="0" collapsed="false">
      <c r="A88" s="33" t="s">
        <v>268</v>
      </c>
    </row>
    <row r="89" customFormat="false" ht="15" hidden="false" customHeight="false" outlineLevel="0" collapsed="false">
      <c r="A89" s="33" t="s">
        <v>60</v>
      </c>
    </row>
    <row r="90" customFormat="false" ht="15" hidden="false" customHeight="false" outlineLevel="0" collapsed="false">
      <c r="A90" s="33" t="s">
        <v>269</v>
      </c>
    </row>
    <row r="91" customFormat="false" ht="15" hidden="false" customHeight="false" outlineLevel="0" collapsed="false">
      <c r="A91" s="33" t="s">
        <v>270</v>
      </c>
    </row>
    <row r="92" customFormat="false" ht="15" hidden="false" customHeight="false" outlineLevel="0" collapsed="false">
      <c r="A92" s="33" t="s">
        <v>86</v>
      </c>
    </row>
    <row r="93" customFormat="false" ht="15" hidden="false" customHeight="false" outlineLevel="0" collapsed="false">
      <c r="A93" s="33" t="s">
        <v>271</v>
      </c>
    </row>
    <row r="94" customFormat="false" ht="15" hidden="false" customHeight="false" outlineLevel="0" collapsed="false">
      <c r="A94" s="33" t="s">
        <v>272</v>
      </c>
    </row>
    <row r="95" customFormat="false" ht="15" hidden="false" customHeight="false" outlineLevel="0" collapsed="false">
      <c r="A95" s="33" t="s">
        <v>273</v>
      </c>
    </row>
    <row r="96" customFormat="false" ht="15" hidden="false" customHeight="false" outlineLevel="0" collapsed="false">
      <c r="A96" s="33" t="s">
        <v>274</v>
      </c>
    </row>
    <row r="97" customFormat="false" ht="15" hidden="false" customHeight="false" outlineLevel="0" collapsed="false">
      <c r="A97" s="33" t="s">
        <v>275</v>
      </c>
    </row>
    <row r="98" customFormat="false" ht="15" hidden="false" customHeight="false" outlineLevel="0" collapsed="false">
      <c r="A98" s="33" t="s">
        <v>276</v>
      </c>
    </row>
    <row r="99" customFormat="false" ht="15" hidden="false" customHeight="false" outlineLevel="0" collapsed="false">
      <c r="A99" s="33" t="s">
        <v>277</v>
      </c>
    </row>
    <row r="100" customFormat="false" ht="15" hidden="false" customHeight="false" outlineLevel="0" collapsed="false">
      <c r="A100" s="33" t="s">
        <v>278</v>
      </c>
    </row>
    <row r="101" customFormat="false" ht="15" hidden="false" customHeight="false" outlineLevel="0" collapsed="false">
      <c r="A101" s="33" t="s">
        <v>279</v>
      </c>
    </row>
    <row r="102" customFormat="false" ht="15" hidden="false" customHeight="false" outlineLevel="0" collapsed="false">
      <c r="A102" s="33" t="s">
        <v>280</v>
      </c>
    </row>
    <row r="103" customFormat="false" ht="15" hidden="false" customHeight="false" outlineLevel="0" collapsed="false">
      <c r="A103" s="33" t="s">
        <v>45</v>
      </c>
    </row>
    <row r="104" customFormat="false" ht="15" hidden="false" customHeight="false" outlineLevel="0" collapsed="false">
      <c r="A104" s="33" t="s">
        <v>281</v>
      </c>
    </row>
    <row r="105" customFormat="false" ht="15" hidden="false" customHeight="false" outlineLevel="0" collapsed="false">
      <c r="A105" s="33" t="s">
        <v>52</v>
      </c>
    </row>
    <row r="106" customFormat="false" ht="15" hidden="false" customHeight="false" outlineLevel="0" collapsed="false">
      <c r="A106" s="33" t="s">
        <v>282</v>
      </c>
    </row>
    <row r="107" customFormat="false" ht="15" hidden="false" customHeight="false" outlineLevel="0" collapsed="false">
      <c r="A107" s="33" t="s">
        <v>283</v>
      </c>
    </row>
    <row r="108" customFormat="false" ht="15" hidden="false" customHeight="false" outlineLevel="0" collapsed="false">
      <c r="A108" s="33" t="s">
        <v>284</v>
      </c>
    </row>
    <row r="109" customFormat="false" ht="15" hidden="false" customHeight="false" outlineLevel="0" collapsed="false">
      <c r="A109" s="33" t="s">
        <v>285</v>
      </c>
    </row>
    <row r="110" customFormat="false" ht="15" hidden="false" customHeight="false" outlineLevel="0" collapsed="false">
      <c r="A110" s="33" t="s">
        <v>286</v>
      </c>
    </row>
    <row r="111" customFormat="false" ht="15" hidden="false" customHeight="false" outlineLevel="0" collapsed="false">
      <c r="A111" s="33" t="s">
        <v>287</v>
      </c>
    </row>
    <row r="112" customFormat="false" ht="15" hidden="false" customHeight="false" outlineLevel="0" collapsed="false">
      <c r="A112" s="33" t="s">
        <v>288</v>
      </c>
    </row>
    <row r="113" customFormat="false" ht="15" hidden="false" customHeight="false" outlineLevel="0" collapsed="false">
      <c r="A113" s="33" t="s">
        <v>289</v>
      </c>
    </row>
    <row r="114" customFormat="false" ht="15" hidden="false" customHeight="false" outlineLevel="0" collapsed="false">
      <c r="A114" s="33" t="s">
        <v>62</v>
      </c>
    </row>
    <row r="115" customFormat="false" ht="15" hidden="false" customHeight="false" outlineLevel="0" collapsed="false">
      <c r="A115" s="33" t="s">
        <v>37</v>
      </c>
    </row>
    <row r="116" customFormat="false" ht="15" hidden="false" customHeight="false" outlineLevel="0" collapsed="false">
      <c r="A116" s="33" t="s">
        <v>290</v>
      </c>
    </row>
    <row r="117" customFormat="false" ht="15" hidden="false" customHeight="false" outlineLevel="0" collapsed="false">
      <c r="A117" s="33" t="s">
        <v>291</v>
      </c>
    </row>
    <row r="118" customFormat="false" ht="15" hidden="false" customHeight="false" outlineLevel="0" collapsed="false">
      <c r="A118" s="33" t="s">
        <v>57</v>
      </c>
    </row>
    <row r="119" customFormat="false" ht="15" hidden="false" customHeight="false" outlineLevel="0" collapsed="false">
      <c r="A119" s="33" t="s">
        <v>292</v>
      </c>
    </row>
    <row r="120" customFormat="false" ht="15" hidden="false" customHeight="false" outlineLevel="0" collapsed="false">
      <c r="A120" s="33" t="s">
        <v>293</v>
      </c>
    </row>
    <row r="121" customFormat="false" ht="15" hidden="false" customHeight="false" outlineLevel="0" collapsed="false">
      <c r="A121" s="33" t="s">
        <v>294</v>
      </c>
    </row>
    <row r="122" customFormat="false" ht="15" hidden="false" customHeight="false" outlineLevel="0" collapsed="false">
      <c r="A122" s="33" t="s">
        <v>295</v>
      </c>
    </row>
    <row r="123" customFormat="false" ht="15" hidden="false" customHeight="false" outlineLevel="0" collapsed="false">
      <c r="A123" s="33" t="s">
        <v>76</v>
      </c>
    </row>
    <row r="124" customFormat="false" ht="15" hidden="false" customHeight="false" outlineLevel="0" collapsed="false">
      <c r="A124" s="33" t="s">
        <v>296</v>
      </c>
    </row>
    <row r="125" customFormat="false" ht="15" hidden="false" customHeight="false" outlineLevel="0" collapsed="false">
      <c r="A125" s="33" t="s">
        <v>297</v>
      </c>
    </row>
    <row r="126" customFormat="false" ht="15" hidden="false" customHeight="false" outlineLevel="0" collapsed="false">
      <c r="A126" s="33" t="s">
        <v>298</v>
      </c>
    </row>
    <row r="127" customFormat="false" ht="15" hidden="false" customHeight="false" outlineLevel="0" collapsed="false">
      <c r="A127" s="33" t="s">
        <v>299</v>
      </c>
    </row>
    <row r="128" customFormat="false" ht="15" hidden="false" customHeight="false" outlineLevel="0" collapsed="false">
      <c r="A128" s="33" t="s">
        <v>48</v>
      </c>
    </row>
    <row r="129" customFormat="false" ht="15" hidden="false" customHeight="false" outlineLevel="0" collapsed="false">
      <c r="A129" s="33" t="s">
        <v>300</v>
      </c>
    </row>
    <row r="130" customFormat="false" ht="15" hidden="false" customHeight="false" outlineLevel="0" collapsed="false">
      <c r="A130" s="33" t="s">
        <v>301</v>
      </c>
    </row>
    <row r="131" customFormat="false" ht="15" hidden="false" customHeight="false" outlineLevel="0" collapsed="false">
      <c r="A131" s="33" t="s">
        <v>302</v>
      </c>
    </row>
    <row r="132" customFormat="false" ht="15" hidden="false" customHeight="false" outlineLevel="0" collapsed="false">
      <c r="A132" s="33" t="s">
        <v>303</v>
      </c>
    </row>
    <row r="133" customFormat="false" ht="15" hidden="false" customHeight="false" outlineLevel="0" collapsed="false">
      <c r="A133" s="33" t="s">
        <v>304</v>
      </c>
    </row>
    <row r="134" customFormat="false" ht="15" hidden="false" customHeight="false" outlineLevel="0" collapsed="false">
      <c r="A134" s="33" t="s">
        <v>305</v>
      </c>
    </row>
    <row r="135" customFormat="false" ht="15" hidden="false" customHeight="false" outlineLevel="0" collapsed="false">
      <c r="A135" s="33" t="s">
        <v>63</v>
      </c>
    </row>
    <row r="136" customFormat="false" ht="15" hidden="false" customHeight="false" outlineLevel="0" collapsed="false">
      <c r="A136" s="33" t="s">
        <v>50</v>
      </c>
    </row>
    <row r="137" customFormat="false" ht="15" hidden="false" customHeight="false" outlineLevel="0" collapsed="false">
      <c r="A137" s="33" t="s">
        <v>306</v>
      </c>
    </row>
    <row r="138" customFormat="false" ht="15" hidden="false" customHeight="false" outlineLevel="0" collapsed="false">
      <c r="A138" s="33" t="s">
        <v>307</v>
      </c>
    </row>
    <row r="139" customFormat="false" ht="15" hidden="false" customHeight="false" outlineLevel="0" collapsed="false">
      <c r="A139" s="33" t="s">
        <v>308</v>
      </c>
    </row>
    <row r="140" customFormat="false" ht="15" hidden="false" customHeight="false" outlineLevel="0" collapsed="false">
      <c r="A140" s="33" t="s">
        <v>309</v>
      </c>
    </row>
    <row r="141" customFormat="false" ht="15" hidden="false" customHeight="false" outlineLevel="0" collapsed="false">
      <c r="A141" s="33" t="s">
        <v>75</v>
      </c>
    </row>
    <row r="142" customFormat="false" ht="15" hidden="false" customHeight="false" outlineLevel="0" collapsed="false">
      <c r="A142" s="33" t="s">
        <v>310</v>
      </c>
    </row>
    <row r="143" customFormat="false" ht="15" hidden="false" customHeight="false" outlineLevel="0" collapsed="false">
      <c r="A143" s="33" t="s">
        <v>311</v>
      </c>
    </row>
    <row r="144" customFormat="false" ht="15" hidden="false" customHeight="false" outlineLevel="0" collapsed="false">
      <c r="A144" s="33" t="s">
        <v>312</v>
      </c>
    </row>
    <row r="145" customFormat="false" ht="15" hidden="false" customHeight="false" outlineLevel="0" collapsed="false">
      <c r="A145" s="33" t="s">
        <v>39</v>
      </c>
    </row>
    <row r="146" customFormat="false" ht="15" hidden="false" customHeight="false" outlineLevel="0" collapsed="false">
      <c r="A146" s="33" t="s">
        <v>313</v>
      </c>
    </row>
    <row r="147" customFormat="false" ht="15" hidden="false" customHeight="false" outlineLevel="0" collapsed="false">
      <c r="A147" s="33" t="s">
        <v>314</v>
      </c>
    </row>
    <row r="148" customFormat="false" ht="15" hidden="false" customHeight="false" outlineLevel="0" collapsed="false">
      <c r="A148" s="33" t="s">
        <v>315</v>
      </c>
    </row>
    <row r="149" customFormat="false" ht="15" hidden="false" customHeight="false" outlineLevel="0" collapsed="false">
      <c r="A149" s="33" t="s">
        <v>316</v>
      </c>
    </row>
    <row r="150" customFormat="false" ht="15" hidden="false" customHeight="false" outlineLevel="0" collapsed="false">
      <c r="A150" s="33" t="s">
        <v>317</v>
      </c>
    </row>
    <row r="151" customFormat="false" ht="15" hidden="false" customHeight="false" outlineLevel="0" collapsed="false">
      <c r="A151" s="33" t="s">
        <v>318</v>
      </c>
    </row>
    <row r="152" customFormat="false" ht="15" hidden="false" customHeight="false" outlineLevel="0" collapsed="false">
      <c r="A152" s="33" t="s">
        <v>319</v>
      </c>
    </row>
    <row r="153" customFormat="false" ht="15" hidden="false" customHeight="false" outlineLevel="0" collapsed="false">
      <c r="A153" s="33" t="s">
        <v>89</v>
      </c>
    </row>
    <row r="154" customFormat="false" ht="15" hidden="false" customHeight="false" outlineLevel="0" collapsed="false">
      <c r="A154" s="33" t="s">
        <v>320</v>
      </c>
    </row>
    <row r="155" customFormat="false" ht="15" hidden="false" customHeight="false" outlineLevel="0" collapsed="false">
      <c r="A155" s="33" t="s">
        <v>73</v>
      </c>
    </row>
    <row r="156" customFormat="false" ht="15" hidden="false" customHeight="false" outlineLevel="0" collapsed="false">
      <c r="A156" s="33" t="s">
        <v>321</v>
      </c>
    </row>
    <row r="157" customFormat="false" ht="15" hidden="false" customHeight="false" outlineLevel="0" collapsed="false">
      <c r="A157" s="33" t="s">
        <v>322</v>
      </c>
    </row>
    <row r="158" customFormat="false" ht="15" hidden="false" customHeight="false" outlineLevel="0" collapsed="false">
      <c r="A158" s="33" t="s">
        <v>323</v>
      </c>
    </row>
    <row r="159" customFormat="false" ht="15" hidden="false" customHeight="false" outlineLevel="0" collapsed="false">
      <c r="A159" s="33" t="s">
        <v>324</v>
      </c>
    </row>
    <row r="160" customFormat="false" ht="15" hidden="false" customHeight="false" outlineLevel="0" collapsed="false">
      <c r="A160" s="33" t="s">
        <v>325</v>
      </c>
    </row>
    <row r="161" customFormat="false" ht="15" hidden="false" customHeight="false" outlineLevel="0" collapsed="false">
      <c r="A161" s="33" t="s">
        <v>326</v>
      </c>
    </row>
    <row r="162" customFormat="false" ht="15" hidden="false" customHeight="false" outlineLevel="0" collapsed="false">
      <c r="A162" s="33" t="s">
        <v>327</v>
      </c>
    </row>
    <row r="163" customFormat="false" ht="15" hidden="false" customHeight="false" outlineLevel="0" collapsed="false">
      <c r="A163" s="33" t="s">
        <v>328</v>
      </c>
    </row>
    <row r="164" customFormat="false" ht="15" hidden="false" customHeight="false" outlineLevel="0" collapsed="false">
      <c r="A164" s="33" t="s">
        <v>329</v>
      </c>
    </row>
    <row r="165" customFormat="false" ht="15" hidden="false" customHeight="false" outlineLevel="0" collapsed="false">
      <c r="A165" s="33" t="s">
        <v>330</v>
      </c>
    </row>
    <row r="166" customFormat="false" ht="15" hidden="false" customHeight="false" outlineLevel="0" collapsed="false">
      <c r="A166" s="33" t="s">
        <v>331</v>
      </c>
    </row>
    <row r="167" customFormat="false" ht="15" hidden="false" customHeight="false" outlineLevel="0" collapsed="false">
      <c r="A167" s="33" t="s">
        <v>332</v>
      </c>
    </row>
    <row r="168" customFormat="false" ht="15" hidden="false" customHeight="false" outlineLevel="0" collapsed="false">
      <c r="A168" s="33" t="s">
        <v>333</v>
      </c>
    </row>
    <row r="169" customFormat="false" ht="15" hidden="false" customHeight="false" outlineLevel="0" collapsed="false">
      <c r="A169" s="33" t="s">
        <v>74</v>
      </c>
    </row>
    <row r="170" customFormat="false" ht="15" hidden="false" customHeight="false" outlineLevel="0" collapsed="false">
      <c r="A170" s="33" t="s">
        <v>334</v>
      </c>
    </row>
    <row r="171" customFormat="false" ht="15" hidden="false" customHeight="false" outlineLevel="0" collapsed="false">
      <c r="A171" s="33" t="s">
        <v>335</v>
      </c>
    </row>
    <row r="172" customFormat="false" ht="15" hidden="false" customHeight="false" outlineLevel="0" collapsed="false">
      <c r="A172" s="33" t="s">
        <v>99</v>
      </c>
    </row>
    <row r="173" customFormat="false" ht="15" hidden="false" customHeight="false" outlineLevel="0" collapsed="false">
      <c r="A173" s="33" t="s">
        <v>336</v>
      </c>
    </row>
    <row r="174" customFormat="false" ht="15" hidden="false" customHeight="false" outlineLevel="0" collapsed="false">
      <c r="A174" s="33" t="s">
        <v>337</v>
      </c>
    </row>
    <row r="175" customFormat="false" ht="15" hidden="false" customHeight="false" outlineLevel="0" collapsed="false">
      <c r="A175" s="33" t="s">
        <v>84</v>
      </c>
    </row>
    <row r="176" customFormat="false" ht="15" hidden="false" customHeight="false" outlineLevel="0" collapsed="false">
      <c r="A176" s="33" t="s">
        <v>338</v>
      </c>
    </row>
    <row r="177" customFormat="false" ht="15" hidden="false" customHeight="false" outlineLevel="0" collapsed="false">
      <c r="A177" s="33" t="s">
        <v>339</v>
      </c>
    </row>
    <row r="178" customFormat="false" ht="15" hidden="false" customHeight="false" outlineLevel="0" collapsed="false">
      <c r="A178" s="33" t="s">
        <v>340</v>
      </c>
    </row>
    <row r="179" customFormat="false" ht="15" hidden="false" customHeight="false" outlineLevel="0" collapsed="false">
      <c r="A179" s="33" t="s">
        <v>71</v>
      </c>
    </row>
    <row r="180" customFormat="false" ht="15" hidden="false" customHeight="false" outlineLevel="0" collapsed="false">
      <c r="A180" s="33" t="s">
        <v>341</v>
      </c>
    </row>
    <row r="181" customFormat="false" ht="15" hidden="false" customHeight="false" outlineLevel="0" collapsed="false">
      <c r="A181" s="33" t="s">
        <v>342</v>
      </c>
    </row>
    <row r="182" customFormat="false" ht="15" hidden="false" customHeight="false" outlineLevel="0" collapsed="false">
      <c r="A182" s="33" t="s">
        <v>343</v>
      </c>
    </row>
    <row r="183" customFormat="false" ht="15" hidden="false" customHeight="false" outlineLevel="0" collapsed="false">
      <c r="A183" s="33" t="s">
        <v>344</v>
      </c>
    </row>
    <row r="184" customFormat="false" ht="15" hidden="false" customHeight="false" outlineLevel="0" collapsed="false">
      <c r="A184" s="33" t="s">
        <v>345</v>
      </c>
    </row>
    <row r="185" customFormat="false" ht="15" hidden="false" customHeight="false" outlineLevel="0" collapsed="false">
      <c r="A185" s="33" t="s">
        <v>346</v>
      </c>
    </row>
    <row r="186" customFormat="false" ht="15" hidden="false" customHeight="false" outlineLevel="0" collapsed="false">
      <c r="A186" s="33" t="s">
        <v>347</v>
      </c>
    </row>
    <row r="187" customFormat="false" ht="15" hidden="false" customHeight="false" outlineLevel="0" collapsed="false">
      <c r="A187" s="33" t="s">
        <v>348</v>
      </c>
    </row>
    <row r="188" customFormat="false" ht="15" hidden="false" customHeight="false" outlineLevel="0" collapsed="false">
      <c r="A188" s="33" t="s">
        <v>349</v>
      </c>
    </row>
    <row r="189" customFormat="false" ht="15" hidden="false" customHeight="false" outlineLevel="0" collapsed="false">
      <c r="A189" s="33" t="s">
        <v>350</v>
      </c>
    </row>
    <row r="190" customFormat="false" ht="15" hidden="false" customHeight="false" outlineLevel="0" collapsed="false">
      <c r="A190" s="33" t="s">
        <v>351</v>
      </c>
    </row>
    <row r="191" customFormat="false" ht="15" hidden="false" customHeight="false" outlineLevel="0" collapsed="false">
      <c r="A191" s="33" t="s">
        <v>352</v>
      </c>
    </row>
    <row r="192" customFormat="false" ht="15" hidden="false" customHeight="false" outlineLevel="0" collapsed="false">
      <c r="A192" s="33" t="s">
        <v>353</v>
      </c>
    </row>
    <row r="193" customFormat="false" ht="15" hidden="false" customHeight="false" outlineLevel="0" collapsed="false">
      <c r="A193" s="33" t="s">
        <v>354</v>
      </c>
    </row>
    <row r="194" customFormat="false" ht="15" hidden="false" customHeight="false" outlineLevel="0" collapsed="false">
      <c r="A194" s="33" t="s">
        <v>355</v>
      </c>
    </row>
    <row r="195" customFormat="false" ht="15" hidden="false" customHeight="false" outlineLevel="0" collapsed="false">
      <c r="A195" s="33" t="s">
        <v>356</v>
      </c>
    </row>
    <row r="196" customFormat="false" ht="15" hidden="false" customHeight="false" outlineLevel="0" collapsed="false">
      <c r="A196" s="33" t="s">
        <v>357</v>
      </c>
    </row>
    <row r="197" customFormat="false" ht="15" hidden="false" customHeight="false" outlineLevel="0" collapsed="false">
      <c r="A197" s="33" t="s">
        <v>358</v>
      </c>
    </row>
    <row r="198" customFormat="false" ht="15" hidden="false" customHeight="false" outlineLevel="0" collapsed="false">
      <c r="A198" s="33" t="s">
        <v>65</v>
      </c>
    </row>
    <row r="199" customFormat="false" ht="15" hidden="false" customHeight="false" outlineLevel="0" collapsed="false">
      <c r="A199" s="33" t="s">
        <v>87</v>
      </c>
    </row>
    <row r="200" customFormat="false" ht="15" hidden="false" customHeight="false" outlineLevel="0" collapsed="false">
      <c r="A200" s="33" t="s">
        <v>359</v>
      </c>
    </row>
    <row r="201" customFormat="false" ht="15" hidden="false" customHeight="false" outlineLevel="0" collapsed="false">
      <c r="A201" s="33" t="s">
        <v>360</v>
      </c>
    </row>
    <row r="202" customFormat="false" ht="15" hidden="false" customHeight="false" outlineLevel="0" collapsed="false">
      <c r="A202" s="33" t="s">
        <v>361</v>
      </c>
    </row>
    <row r="203" customFormat="false" ht="15" hidden="false" customHeight="false" outlineLevel="0" collapsed="false">
      <c r="A203" s="33" t="s">
        <v>362</v>
      </c>
    </row>
    <row r="204" customFormat="false" ht="15" hidden="false" customHeight="false" outlineLevel="0" collapsed="false">
      <c r="A204" s="33" t="s">
        <v>363</v>
      </c>
    </row>
    <row r="205" customFormat="false" ht="15" hidden="false" customHeight="false" outlineLevel="0" collapsed="false">
      <c r="A205" s="33" t="s">
        <v>72</v>
      </c>
    </row>
    <row r="206" customFormat="false" ht="15" hidden="false" customHeight="false" outlineLevel="0" collapsed="false">
      <c r="A206" s="33" t="s">
        <v>364</v>
      </c>
    </row>
    <row r="207" customFormat="false" ht="15" hidden="false" customHeight="false" outlineLevel="0" collapsed="false">
      <c r="A207" s="33" t="s">
        <v>365</v>
      </c>
    </row>
    <row r="208" customFormat="false" ht="15" hidden="false" customHeight="false" outlineLevel="0" collapsed="false">
      <c r="A208" s="33" t="s">
        <v>366</v>
      </c>
    </row>
    <row r="209" customFormat="false" ht="15" hidden="false" customHeight="false" outlineLevel="0" collapsed="false">
      <c r="A209" s="33" t="s">
        <v>81</v>
      </c>
    </row>
    <row r="210" customFormat="false" ht="15" hidden="false" customHeight="false" outlineLevel="0" collapsed="false">
      <c r="A210" s="33" t="s">
        <v>367</v>
      </c>
    </row>
    <row r="211" customFormat="false" ht="15" hidden="false" customHeight="false" outlineLevel="0" collapsed="false">
      <c r="A211" s="33" t="s">
        <v>368</v>
      </c>
    </row>
    <row r="212" customFormat="false" ht="15" hidden="false" customHeight="false" outlineLevel="0" collapsed="false">
      <c r="A212" s="33" t="s">
        <v>369</v>
      </c>
    </row>
    <row r="213" customFormat="false" ht="15" hidden="false" customHeight="false" outlineLevel="0" collapsed="false">
      <c r="A213" s="33" t="s">
        <v>100</v>
      </c>
    </row>
    <row r="214" customFormat="false" ht="15" hidden="false" customHeight="false" outlineLevel="0" collapsed="false">
      <c r="A214" s="33" t="s">
        <v>370</v>
      </c>
    </row>
    <row r="215" customFormat="false" ht="15" hidden="false" customHeight="false" outlineLevel="0" collapsed="false">
      <c r="A215" s="33" t="s">
        <v>371</v>
      </c>
    </row>
    <row r="216" customFormat="false" ht="15" hidden="false" customHeight="false" outlineLevel="0" collapsed="false">
      <c r="A216" s="33" t="s">
        <v>372</v>
      </c>
    </row>
    <row r="217" customFormat="false" ht="15" hidden="false" customHeight="false" outlineLevel="0" collapsed="false">
      <c r="A217" s="33" t="s">
        <v>373</v>
      </c>
    </row>
    <row r="218" customFormat="false" ht="15" hidden="false" customHeight="false" outlineLevel="0" collapsed="false">
      <c r="A218" s="33" t="s">
        <v>374</v>
      </c>
    </row>
    <row r="219" customFormat="false" ht="15" hidden="false" customHeight="false" outlineLevel="0" collapsed="false">
      <c r="A219" s="33" t="s">
        <v>375</v>
      </c>
    </row>
    <row r="220" customFormat="false" ht="15" hidden="false" customHeight="false" outlineLevel="0" collapsed="false">
      <c r="A220" s="33" t="s">
        <v>376</v>
      </c>
    </row>
    <row r="221" customFormat="false" ht="15" hidden="false" customHeight="false" outlineLevel="0" collapsed="false">
      <c r="A221" s="33" t="s">
        <v>377</v>
      </c>
    </row>
    <row r="222" customFormat="false" ht="15" hidden="false" customHeight="false" outlineLevel="0" collapsed="false">
      <c r="A222" s="33" t="s">
        <v>378</v>
      </c>
    </row>
    <row r="223" customFormat="false" ht="15" hidden="false" customHeight="false" outlineLevel="0" collapsed="false">
      <c r="A223" s="33" t="s">
        <v>61</v>
      </c>
    </row>
    <row r="224" customFormat="false" ht="15" hidden="false" customHeight="false" outlineLevel="0" collapsed="false">
      <c r="A224" s="33" t="s">
        <v>96</v>
      </c>
    </row>
    <row r="225" customFormat="false" ht="15" hidden="false" customHeight="false" outlineLevel="0" collapsed="false">
      <c r="A225" s="33" t="s">
        <v>379</v>
      </c>
    </row>
    <row r="226" customFormat="false" ht="15" hidden="false" customHeight="false" outlineLevel="0" collapsed="false">
      <c r="A226" s="33" t="s">
        <v>380</v>
      </c>
    </row>
    <row r="227" customFormat="false" ht="15" hidden="false" customHeight="false" outlineLevel="0" collapsed="false">
      <c r="A227" s="33" t="s">
        <v>381</v>
      </c>
    </row>
    <row r="228" customFormat="false" ht="15" hidden="false" customHeight="false" outlineLevel="0" collapsed="false">
      <c r="A228" s="33" t="s">
        <v>382</v>
      </c>
    </row>
    <row r="229" customFormat="false" ht="15" hidden="false" customHeight="false" outlineLevel="0" collapsed="false">
      <c r="A229" s="33" t="s">
        <v>383</v>
      </c>
    </row>
    <row r="230" customFormat="false" ht="15" hidden="false" customHeight="false" outlineLevel="0" collapsed="false">
      <c r="A230" s="33" t="s">
        <v>46</v>
      </c>
    </row>
    <row r="231" customFormat="false" ht="15" hidden="false" customHeight="false" outlineLevel="0" collapsed="false">
      <c r="A231" s="33" t="s">
        <v>384</v>
      </c>
    </row>
    <row r="232" customFormat="false" ht="15" hidden="false" customHeight="false" outlineLevel="0" collapsed="false">
      <c r="A232" s="33" t="s">
        <v>385</v>
      </c>
    </row>
    <row r="233" customFormat="false" ht="15" hidden="false" customHeight="false" outlineLevel="0" collapsed="false">
      <c r="A233" s="33" t="s">
        <v>386</v>
      </c>
    </row>
    <row r="234" customFormat="false" ht="15" hidden="false" customHeight="false" outlineLevel="0" collapsed="false">
      <c r="A234" s="33" t="s">
        <v>387</v>
      </c>
    </row>
    <row r="235" customFormat="false" ht="15" hidden="false" customHeight="false" outlineLevel="0" collapsed="false">
      <c r="A235" s="33" t="s">
        <v>388</v>
      </c>
    </row>
    <row r="236" customFormat="false" ht="15" hidden="false" customHeight="false" outlineLevel="0" collapsed="false">
      <c r="A236" s="33" t="s">
        <v>389</v>
      </c>
    </row>
    <row r="237" customFormat="false" ht="15" hidden="false" customHeight="false" outlineLevel="0" collapsed="false">
      <c r="A237" s="33" t="s">
        <v>390</v>
      </c>
    </row>
    <row r="238" customFormat="false" ht="15" hidden="false" customHeight="false" outlineLevel="0" collapsed="false">
      <c r="A238" s="33" t="s">
        <v>391</v>
      </c>
    </row>
    <row r="239" customFormat="false" ht="15" hidden="false" customHeight="false" outlineLevel="0" collapsed="false">
      <c r="A239" s="33" t="s">
        <v>392</v>
      </c>
    </row>
    <row r="240" customFormat="false" ht="15" hidden="false" customHeight="false" outlineLevel="0" collapsed="false">
      <c r="A240" s="33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2026-10-19T03:07:21Z</dcterms:created>
  <dc:creator>openpyxl</dc:creator>
  <dc:description/>
  <dc:language>en-US</dc:language>
  <cp:lastModifiedBy/>
  <dcterms:modified xsi:type="dcterms:W3CDTF">2026-10-19T03:07:22Z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